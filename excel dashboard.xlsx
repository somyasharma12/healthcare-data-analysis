
<file path=[Content_Types].xml><?xml version="1.0" encoding="utf-8"?>
<Types xmlns="http://schemas.openxmlformats.org/package/2006/content-types">
  <Default Extension="bin" ContentType="application/vnd.openxmlformats-officedocument.spreadsheetml.printerSettings"/>
  <Default Extension="jfif"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Lenovo\OneDrive\Documents\Desktop\healthcare project\"/>
    </mc:Choice>
  </mc:AlternateContent>
  <xr:revisionPtr revIDLastSave="0" documentId="13_ncr:1_{D381D652-A9F4-406A-A06F-56FCA8AB3880}" xr6:coauthVersionLast="36" xr6:coauthVersionMax="36" xr10:uidLastSave="{00000000-0000-0000-0000-000000000000}"/>
  <bookViews>
    <workbookView xWindow="0" yWindow="0" windowWidth="23040" windowHeight="9060" firstSheet="5" activeTab="14" xr2:uid="{48BBB801-1185-4249-AB15-9E38342270A6}"/>
  </bookViews>
  <sheets>
    <sheet name="admissions" sheetId="2" r:id="rId1"/>
    <sheet name="appointments" sheetId="3" r:id="rId2"/>
    <sheet name="bills" sheetId="4" r:id="rId3"/>
    <sheet name="departments" sheetId="5" r:id="rId4"/>
    <sheet name="diagnosis" sheetId="6" r:id="rId5"/>
    <sheet name="doctors" sheetId="7" r:id="rId6"/>
    <sheet name="entryexit" sheetId="8" r:id="rId7"/>
    <sheet name="patients" sheetId="9" r:id="rId8"/>
    <sheet name="payments" sheetId="10" r:id="rId9"/>
    <sheet name="staff" sheetId="11" r:id="rId10"/>
    <sheet name="treatments" sheetId="12" r:id="rId11"/>
    <sheet name="insurance" sheetId="16" r:id="rId12"/>
    <sheet name="Sheet4" sheetId="20" r:id="rId13"/>
    <sheet name="Sheet8" sheetId="14" r:id="rId14"/>
    <sheet name="dashboard" sheetId="1" r:id="rId15"/>
  </sheets>
  <definedNames>
    <definedName name="_xlcn.WorksheetConnection_exceldashboard.xlsxhca_admissions" hidden="1">hca_admissions[]</definedName>
    <definedName name="_xlcn.WorksheetConnection_exceldashboard.xlsxhca_bills" hidden="1">hca_bills[]</definedName>
    <definedName name="_xlcn.WorksheetConnection_exceldashboard.xlsxhca_departments" hidden="1">hca_departments[]</definedName>
    <definedName name="_xlcn.WorksheetConnection_exceldashboard.xlsxhca_payments" hidden="1">hca_payments[]</definedName>
    <definedName name="ExternalData_1" localSheetId="0" hidden="1">admissions!$A$1:$J$11</definedName>
    <definedName name="ExternalData_1" localSheetId="1" hidden="1">appointments!$A$1:$G$21</definedName>
    <definedName name="ExternalData_1" localSheetId="2" hidden="1">bills!$A$1:$K$11</definedName>
    <definedName name="ExternalData_1" localSheetId="3" hidden="1">departments!$A$1:$D$11</definedName>
    <definedName name="ExternalData_1" localSheetId="4" hidden="1">diagnosis!$A$1:$G$20</definedName>
    <definedName name="ExternalData_1" localSheetId="5" hidden="1">doctors!$A$1:$G$11</definedName>
    <definedName name="ExternalData_1" localSheetId="6" hidden="1">entryexit!$A$1:$G$11</definedName>
    <definedName name="ExternalData_1" localSheetId="11" hidden="1">insurance!$A$1:$D$11</definedName>
    <definedName name="ExternalData_1" localSheetId="7" hidden="1">patients!$A$1:$H$51</definedName>
    <definedName name="ExternalData_1" localSheetId="8" hidden="1">payments!$A$1:$G$11</definedName>
    <definedName name="ExternalData_1" localSheetId="9" hidden="1">staff!$A$1:$G$16</definedName>
    <definedName name="ExternalData_1" localSheetId="10" hidden="1">treatments!$A$1:$H$11</definedName>
    <definedName name="Slicer_admission_type">#N/A</definedName>
    <definedName name="Slicer_appointment_status">#N/A</definedName>
    <definedName name="Slicer_department_name">#N/A</definedName>
    <definedName name="Slicer_gender">#N/A</definedName>
  </definedNames>
  <calcPr calcId="191029"/>
  <pivotCaches>
    <pivotCache cacheId="0" r:id="rId16"/>
    <pivotCache cacheId="1" r:id="rId17"/>
    <pivotCache cacheId="2" r:id="rId18"/>
    <pivotCache cacheId="3" r:id="rId19"/>
    <pivotCache cacheId="4" r:id="rId20"/>
    <pivotCache cacheId="5" r:id="rId21"/>
    <pivotCache cacheId="6" r:id="rId22"/>
    <pivotCache cacheId="7" r:id="rId23"/>
    <pivotCache cacheId="8" r:id="rId24"/>
    <pivotCache cacheId="9" r:id="rId25"/>
    <pivotCache cacheId="78" r:id="rId26"/>
    <pivotCache cacheId="81" r:id="rId27"/>
    <pivotCache cacheId="84" r:id="rId28"/>
    <pivotCache cacheId="87" r:id="rId29"/>
    <pivotCache cacheId="90" r:id="rId30"/>
  </pivotCaches>
  <extLst>
    <ext xmlns:x14="http://schemas.microsoft.com/office/spreadsheetml/2009/9/main" uri="{876F7934-8845-4945-9796-88D515C7AA90}">
      <x14:pivotCaches>
        <pivotCache cacheId="15" r:id="rId31"/>
      </x14:pivotCaches>
    </ext>
    <ext xmlns:x14="http://schemas.microsoft.com/office/spreadsheetml/2009/9/main" uri="{BBE1A952-AA13-448e-AADC-164F8A28A991}">
      <x14:slicerCaches>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ca_payments" name="hca_payments" connection="WorksheetConnection_excel dashboard.xlsx!hca_payments"/>
          <x15:modelTable id="hca_departments" name="hca_departments" connection="WorksheetConnection_excel dashboard.xlsx!hca_departments"/>
          <x15:modelTable id="hca_bills" name="hca_bills" connection="WorksheetConnection_excel dashboard.xlsx!hca_bills"/>
          <x15:modelTable id="hca_admissions" name="hca_admissions" connection="WorksheetConnection_excel dashboard.xlsx!hca_admissions"/>
        </x15:modelTables>
        <x15:modelRelationships>
          <x15:modelRelationship fromTable="hca_bills" fromColumn="admission_id" toTable="hca_admissions" toColumn="admission_id"/>
          <x15:modelRelationship fromTable="hca_admissions" fromColumn="department_id" toTable="hca_departments" toColumn="department_id"/>
        </x15:modelRelationships>
      </x15:dataModel>
    </ext>
  </extLst>
</workbook>
</file>

<file path=xl/calcChain.xml><?xml version="1.0" encoding="utf-8"?>
<calcChain xmlns="http://schemas.openxmlformats.org/spreadsheetml/2006/main">
  <c r="C5" i="1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4A50C1-CAE4-47A2-91D6-5D1DBAEBF39F}" keepAlive="1" name="Query - hca admissions" description="Connection to the 'hca admissions' query in the workbook." type="5" refreshedVersion="6" background="1" saveData="1">
    <dbPr connection="Provider=Microsoft.Mashup.OleDb.1;Data Source=$Workbook$;Location=hca admissions;Extended Properties=&quot;&quot;" command="SELECT * FROM [hca admissions]"/>
  </connection>
  <connection id="2" xr16:uid="{1C807D65-2897-4AAB-AE01-474E4431FE34}" keepAlive="1" name="Query - hca appointments" description="Connection to the 'hca appointments' query in the workbook." type="5" refreshedVersion="6" background="1" saveData="1">
    <dbPr connection="Provider=Microsoft.Mashup.OleDb.1;Data Source=$Workbook$;Location=hca appointments;Extended Properties=&quot;&quot;" command="SELECT * FROM [hca appointments]"/>
  </connection>
  <connection id="3" xr16:uid="{2481CF47-4778-4393-8202-9E4F21F79F64}" keepAlive="1" name="Query - hca bills" description="Connection to the 'hca bills' query in the workbook." type="5" refreshedVersion="6" background="1" saveData="1">
    <dbPr connection="Provider=Microsoft.Mashup.OleDb.1;Data Source=$Workbook$;Location=hca bills;Extended Properties=&quot;&quot;" command="SELECT * FROM [hca bills]"/>
  </connection>
  <connection id="4" xr16:uid="{A347B3C9-72AF-4EF6-BE14-A8343A269456}" keepAlive="1" name="Query - hca departments" description="Connection to the 'hca departments' query in the workbook." type="5" refreshedVersion="6" background="1" saveData="1">
    <dbPr connection="Provider=Microsoft.Mashup.OleDb.1;Data Source=$Workbook$;Location=hca departments;Extended Properties=&quot;&quot;" command="SELECT * FROM [hca departments]"/>
  </connection>
  <connection id="5" xr16:uid="{0E1DA090-BEFA-4938-AFC4-7B17CE9F0F89}" keepAlive="1" name="Query - hca diagnoses" description="Connection to the 'hca diagnoses' query in the workbook." type="5" refreshedVersion="6" background="1" saveData="1">
    <dbPr connection="Provider=Microsoft.Mashup.OleDb.1;Data Source=$Workbook$;Location=hca diagnoses;Extended Properties=&quot;&quot;" command="SELECT * FROM [hca diagnoses]"/>
  </connection>
  <connection id="6" xr16:uid="{486DC6FE-7C73-4F92-9F9C-5E34BD95F250}" keepAlive="1" name="Query - hca doctors" description="Connection to the 'hca doctors' query in the workbook." type="5" refreshedVersion="6" background="1" saveData="1">
    <dbPr connection="Provider=Microsoft.Mashup.OleDb.1;Data Source=$Workbook$;Location=hca doctors;Extended Properties=&quot;&quot;" command="SELECT * FROM [hca doctors]"/>
  </connection>
  <connection id="7" xr16:uid="{2821BC78-E09F-467E-BE69-CA7569520A2C}" keepAlive="1" name="Query - hca entry_exit" description="Connection to the 'hca entry_exit' query in the workbook." type="5" refreshedVersion="6" background="1" saveData="1">
    <dbPr connection="Provider=Microsoft.Mashup.OleDb.1;Data Source=$Workbook$;Location=hca entry_exit;Extended Properties=&quot;&quot;" command="SELECT * FROM [hca entry_exit]"/>
  </connection>
  <connection id="8" xr16:uid="{9987D71A-EC92-4B02-BB30-3320F6C9C39E}" keepAlive="1" name="Query - hca insurance" description="Connection to the 'hca insurance' query in the workbook." type="5" refreshedVersion="6" background="1" saveData="1">
    <dbPr connection="Provider=Microsoft.Mashup.OleDb.1;Data Source=$Workbook$;Location=hca insurance;Extended Properties=&quot;&quot;" command="SELECT * FROM [hca insurance]"/>
  </connection>
  <connection id="9" xr16:uid="{15132EDA-C491-48FB-A28F-8AD9B987DE26}" keepAlive="1" name="Query - hca patients" description="Connection to the 'hca patients' query in the workbook." type="5" refreshedVersion="6" background="1" saveData="1">
    <dbPr connection="Provider=Microsoft.Mashup.OleDb.1;Data Source=$Workbook$;Location=hca patients;Extended Properties=&quot;&quot;" command="SELECT * FROM [hca patients]"/>
  </connection>
  <connection id="10" xr16:uid="{5E247A2B-D1FB-4893-8EDE-DF1F2D4E9EFB}" keepAlive="1" name="Query - hca payments" description="Connection to the 'hca payments' query in the workbook." type="5" refreshedVersion="6" background="1" saveData="1">
    <dbPr connection="Provider=Microsoft.Mashup.OleDb.1;Data Source=$Workbook$;Location=hca payments;Extended Properties=&quot;&quot;" command="SELECT * FROM [hca payments]"/>
  </connection>
  <connection id="11" xr16:uid="{BDF8142B-49A0-4B1B-B4E2-E145C30972F4}" keepAlive="1" name="Query - hca staff" description="Connection to the 'hca staff' query in the workbook." type="5" refreshedVersion="6" background="1" saveData="1">
    <dbPr connection="Provider=Microsoft.Mashup.OleDb.1;Data Source=$Workbook$;Location=hca staff;Extended Properties=&quot;&quot;" command="SELECT * FROM [hca staff]"/>
  </connection>
  <connection id="12" xr16:uid="{FBF07298-5A4E-4F77-A312-C83E2BA3A308}" keepAlive="1" name="Query - hca treatments" description="Connection to the 'hca treatments' query in the workbook." type="5" refreshedVersion="6" background="1" saveData="1">
    <dbPr connection="Provider=Microsoft.Mashup.OleDb.1;Data Source=$Workbook$;Location=hca treatments;Extended Properties=&quot;&quot;" command="SELECT * FROM [hca treatments]"/>
  </connection>
  <connection id="13" xr16:uid="{F8A19BF8-8104-4D43-995C-C6508B4EAB8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AF745A93-6BDA-4339-BE7C-B01E39474E21}" name="WorksheetConnection_excel dashboard.xlsx!hca_admissions" type="102" refreshedVersion="6" minRefreshableVersion="5">
    <extLst>
      <ext xmlns:x15="http://schemas.microsoft.com/office/spreadsheetml/2010/11/main" uri="{DE250136-89BD-433C-8126-D09CA5730AF9}">
        <x15:connection id="hca_admissions" autoDelete="1">
          <x15:rangePr sourceName="_xlcn.WorksheetConnection_exceldashboard.xlsxhca_admissions"/>
        </x15:connection>
      </ext>
    </extLst>
  </connection>
  <connection id="15" xr16:uid="{6CB2FF73-5545-48CA-A7F4-B39391CF8AEE}" name="WorksheetConnection_excel dashboard.xlsx!hca_bills" type="102" refreshedVersion="6" minRefreshableVersion="5">
    <extLst>
      <ext xmlns:x15="http://schemas.microsoft.com/office/spreadsheetml/2010/11/main" uri="{DE250136-89BD-433C-8126-D09CA5730AF9}">
        <x15:connection id="hca_bills">
          <x15:rangePr sourceName="_xlcn.WorksheetConnection_exceldashboard.xlsxhca_bills"/>
        </x15:connection>
      </ext>
    </extLst>
  </connection>
  <connection id="16" xr16:uid="{150EC430-1FDC-4543-8C62-9BD7C6BFC33F}" name="WorksheetConnection_excel dashboard.xlsx!hca_departments" type="102" refreshedVersion="6" minRefreshableVersion="5">
    <extLst>
      <ext xmlns:x15="http://schemas.microsoft.com/office/spreadsheetml/2010/11/main" uri="{DE250136-89BD-433C-8126-D09CA5730AF9}">
        <x15:connection id="hca_departments">
          <x15:rangePr sourceName="_xlcn.WorksheetConnection_exceldashboard.xlsxhca_departments"/>
        </x15:connection>
      </ext>
    </extLst>
  </connection>
  <connection id="17" xr16:uid="{D34EF5B0-81EE-4F07-A1A8-3D8F2787C296}" name="WorksheetConnection_excel dashboard.xlsx!hca_payments" type="102" refreshedVersion="6" minRefreshableVersion="5">
    <extLst>
      <ext xmlns:x15="http://schemas.microsoft.com/office/spreadsheetml/2010/11/main" uri="{DE250136-89BD-433C-8126-D09CA5730AF9}">
        <x15:connection id="hca_payments">
          <x15:rangePr sourceName="_xlcn.WorksheetConnection_exceldashboard.xlsxhca_payments"/>
        </x15:connection>
      </ext>
    </extLst>
  </connection>
</connections>
</file>

<file path=xl/sharedStrings.xml><?xml version="1.0" encoding="utf-8"?>
<sst xmlns="http://schemas.openxmlformats.org/spreadsheetml/2006/main" count="651" uniqueCount="273">
  <si>
    <t>admission_id</t>
  </si>
  <si>
    <t>patient_id</t>
  </si>
  <si>
    <t>doctor_id</t>
  </si>
  <si>
    <t>department_id</t>
  </si>
  <si>
    <t>admission_date</t>
  </si>
  <si>
    <t>discharge_date</t>
  </si>
  <si>
    <t>room_type</t>
  </si>
  <si>
    <t>bed_number</t>
  </si>
  <si>
    <t>admission_type</t>
  </si>
  <si>
    <t>admission_status</t>
  </si>
  <si>
    <t>Private</t>
  </si>
  <si>
    <t>A101</t>
  </si>
  <si>
    <t>Emergency</t>
  </si>
  <si>
    <t>Discharged</t>
  </si>
  <si>
    <t>Semi-Private</t>
  </si>
  <si>
    <t>B202</t>
  </si>
  <si>
    <t>Planned</t>
  </si>
  <si>
    <t>C301</t>
  </si>
  <si>
    <t>General</t>
  </si>
  <si>
    <t>D101</t>
  </si>
  <si>
    <t>E201</t>
  </si>
  <si>
    <t>F101</t>
  </si>
  <si>
    <t>C302</t>
  </si>
  <si>
    <t>D102</t>
  </si>
  <si>
    <t>E202</t>
  </si>
  <si>
    <t>A102</t>
  </si>
  <si>
    <t>appointment_id</t>
  </si>
  <si>
    <t>appointment_date</t>
  </si>
  <si>
    <t>appointment_type</t>
  </si>
  <si>
    <t>appointment_status</t>
  </si>
  <si>
    <t>Consultation</t>
  </si>
  <si>
    <t>Completed</t>
  </si>
  <si>
    <t>Follow-up</t>
  </si>
  <si>
    <t>Cancelled</t>
  </si>
  <si>
    <t>bill_id</t>
  </si>
  <si>
    <t>bill_date</t>
  </si>
  <si>
    <t>consultation_charges</t>
  </si>
  <si>
    <t>medicine_charges</t>
  </si>
  <si>
    <t>lab_charges</t>
  </si>
  <si>
    <t>room_charges</t>
  </si>
  <si>
    <t>treatment_charges</t>
  </si>
  <si>
    <t>total_amount</t>
  </si>
  <si>
    <t>bill_status</t>
  </si>
  <si>
    <t>Paid</t>
  </si>
  <si>
    <t>Pending</t>
  </si>
  <si>
    <t>department_name</t>
  </si>
  <si>
    <t>floor_no</t>
  </si>
  <si>
    <t>department_type</t>
  </si>
  <si>
    <t>Cardiology</t>
  </si>
  <si>
    <t>Specialized</t>
  </si>
  <si>
    <t>Gynecology</t>
  </si>
  <si>
    <t>Orthopedics</t>
  </si>
  <si>
    <t>Dermatology</t>
  </si>
  <si>
    <t>Neurology</t>
  </si>
  <si>
    <t>Pediatrics</t>
  </si>
  <si>
    <t>General Medicine</t>
  </si>
  <si>
    <t>ENT</t>
  </si>
  <si>
    <t>Gastroenterology</t>
  </si>
  <si>
    <t>Endocrinology</t>
  </si>
  <si>
    <t>diagnosis_id</t>
  </si>
  <si>
    <t>diagnosis_name</t>
  </si>
  <si>
    <t>diagnosis_date</t>
  </si>
  <si>
    <t>severity</t>
  </si>
  <si>
    <t>Hypertension</t>
  </si>
  <si>
    <t>Moderate</t>
  </si>
  <si>
    <t>PCOS</t>
  </si>
  <si>
    <t>Arthritis</t>
  </si>
  <si>
    <t>Severe</t>
  </si>
  <si>
    <t>Acne</t>
  </si>
  <si>
    <t>Mild</t>
  </si>
  <si>
    <t>Migraine</t>
  </si>
  <si>
    <t>Viral Fever</t>
  </si>
  <si>
    <t>Diabetes</t>
  </si>
  <si>
    <t>Sinusitis</t>
  </si>
  <si>
    <t>Gastritis</t>
  </si>
  <si>
    <t>Thyroid Disorder</t>
  </si>
  <si>
    <t>Dermatitis</t>
  </si>
  <si>
    <t>Ear Infection</t>
  </si>
  <si>
    <t>Acid Reflux</t>
  </si>
  <si>
    <t>doctor_name</t>
  </si>
  <si>
    <t>gender</t>
  </si>
  <si>
    <t>specialization</t>
  </si>
  <si>
    <t>experience_years</t>
  </si>
  <si>
    <t>consultation_fee</t>
  </si>
  <si>
    <t>Dr. Rajesh Sharma</t>
  </si>
  <si>
    <t>Male</t>
  </si>
  <si>
    <t>Cardiologist</t>
  </si>
  <si>
    <t>Dr. Priya Verma</t>
  </si>
  <si>
    <t>Female</t>
  </si>
  <si>
    <t>Gynecologist</t>
  </si>
  <si>
    <t>Dr. Amit Kapoor</t>
  </si>
  <si>
    <t>Orthopedic</t>
  </si>
  <si>
    <t>Dr. Neha Gupta</t>
  </si>
  <si>
    <t>Dermatologist</t>
  </si>
  <si>
    <t>Dr. Rahul Mehta</t>
  </si>
  <si>
    <t>Neurologist</t>
  </si>
  <si>
    <t>Dr. Anjali Singh</t>
  </si>
  <si>
    <t>Pediatrician</t>
  </si>
  <si>
    <t>Dr. Vikram Malhotra</t>
  </si>
  <si>
    <t>General Physician</t>
  </si>
  <si>
    <t>Dr. Sneha Agarwal</t>
  </si>
  <si>
    <t>ENT Specialist</t>
  </si>
  <si>
    <t>Dr. Karan Arora</t>
  </si>
  <si>
    <t>Gastroenterologist</t>
  </si>
  <si>
    <t>Dr. Meera Joshi</t>
  </si>
  <si>
    <t>Endocrinologist</t>
  </si>
  <si>
    <t>entry_exit_id</t>
  </si>
  <si>
    <t>entry_time</t>
  </si>
  <si>
    <t>exit_time</t>
  </si>
  <si>
    <t>entry_type</t>
  </si>
  <si>
    <t>exit_type</t>
  </si>
  <si>
    <t>Admission</t>
  </si>
  <si>
    <t>Discharge</t>
  </si>
  <si>
    <t>patient_name</t>
  </si>
  <si>
    <t>age</t>
  </si>
  <si>
    <t>city</t>
  </si>
  <si>
    <t>blood_group</t>
  </si>
  <si>
    <t>registration_date</t>
  </si>
  <si>
    <t>Aarav Sharma</t>
  </si>
  <si>
    <t>Noida</t>
  </si>
  <si>
    <t>B+</t>
  </si>
  <si>
    <t>Ananya Gupta</t>
  </si>
  <si>
    <t>Delhi</t>
  </si>
  <si>
    <t>O+</t>
  </si>
  <si>
    <t>Rohan Verma</t>
  </si>
  <si>
    <t>Ghaziabad</t>
  </si>
  <si>
    <t>A+</t>
  </si>
  <si>
    <t>Priya Singh</t>
  </si>
  <si>
    <t>AB+</t>
  </si>
  <si>
    <t>Rahul Kumar</t>
  </si>
  <si>
    <t>Sneha Sharma</t>
  </si>
  <si>
    <t>Greater Noida</t>
  </si>
  <si>
    <t>Aditya Mehta</t>
  </si>
  <si>
    <t>A-</t>
  </si>
  <si>
    <t>Kavya Agarwal</t>
  </si>
  <si>
    <t>Vivek Kapoor</t>
  </si>
  <si>
    <t>O-</t>
  </si>
  <si>
    <t>Neha Verma</t>
  </si>
  <si>
    <t>Arjun Malhotra</t>
  </si>
  <si>
    <t>Pooja Gupta</t>
  </si>
  <si>
    <t>Kunal Sharma</t>
  </si>
  <si>
    <t>Simran Kaur</t>
  </si>
  <si>
    <t>B-</t>
  </si>
  <si>
    <t>Manish Arora</t>
  </si>
  <si>
    <t>Riya Mehta</t>
  </si>
  <si>
    <t>Nitin Kumar</t>
  </si>
  <si>
    <t>Isha Singh</t>
  </si>
  <si>
    <t>Varun Gupta</t>
  </si>
  <si>
    <t>Shreya Kapoor</t>
  </si>
  <si>
    <t>Mohit Sharma</t>
  </si>
  <si>
    <t>Nisha Verma</t>
  </si>
  <si>
    <t>Deepak Singh</t>
  </si>
  <si>
    <t>Aditi Gupta</t>
  </si>
  <si>
    <t>Saurabh Kumar</t>
  </si>
  <si>
    <t>Tanya Mehta</t>
  </si>
  <si>
    <t>Harsh Agarwal</t>
  </si>
  <si>
    <t>Muskan Sharma</t>
  </si>
  <si>
    <t>Akash Verma</t>
  </si>
  <si>
    <t>Komal Singh</t>
  </si>
  <si>
    <t>Yash Kapoor</t>
  </si>
  <si>
    <t>Nandini Gupta</t>
  </si>
  <si>
    <t>Abhishek Sharma</t>
  </si>
  <si>
    <t>Sakshi Mehta</t>
  </si>
  <si>
    <t>Gaurav Kumar</t>
  </si>
  <si>
    <t>Ritika Singh</t>
  </si>
  <si>
    <t>Aman Gupta</t>
  </si>
  <si>
    <t>Shalini Verma</t>
  </si>
  <si>
    <t>Rakesh Arora</t>
  </si>
  <si>
    <t>Pallavi Sharma</t>
  </si>
  <si>
    <t>Ravi Mehta</t>
  </si>
  <si>
    <t>Swati Gupta</t>
  </si>
  <si>
    <t>Tarun Singh</t>
  </si>
  <si>
    <t>Megha Kapoor</t>
  </si>
  <si>
    <t>Sachin Verma</t>
  </si>
  <si>
    <t>Divya Sharma</t>
  </si>
  <si>
    <t>Rishabh Kumar</t>
  </si>
  <si>
    <t>Payal Singh</t>
  </si>
  <si>
    <t>Ashish Gupta</t>
  </si>
  <si>
    <t>Monika Mehta</t>
  </si>
  <si>
    <t>payment_id</t>
  </si>
  <si>
    <t>payment_date</t>
  </si>
  <si>
    <t>payment_amount</t>
  </si>
  <si>
    <t>payment_method</t>
  </si>
  <si>
    <t>payment_status</t>
  </si>
  <si>
    <t>UPI</t>
  </si>
  <si>
    <t>Credit Card</t>
  </si>
  <si>
    <t>Cash</t>
  </si>
  <si>
    <t>Partial</t>
  </si>
  <si>
    <t>Debit Card</t>
  </si>
  <si>
    <t>staff_id</t>
  </si>
  <si>
    <t>staff_name</t>
  </si>
  <si>
    <t>role</t>
  </si>
  <si>
    <t>shift</t>
  </si>
  <si>
    <t>salary</t>
  </si>
  <si>
    <t>Ramesh Kumar</t>
  </si>
  <si>
    <t>Nurse</t>
  </si>
  <si>
    <t>Morning</t>
  </si>
  <si>
    <t>Sunita Sharma</t>
  </si>
  <si>
    <t>Night</t>
  </si>
  <si>
    <t>Pankaj Singh</t>
  </si>
  <si>
    <t>Evening</t>
  </si>
  <si>
    <t>Kiran Gupta</t>
  </si>
  <si>
    <t>Receptionist</t>
  </si>
  <si>
    <t>Amit Verma</t>
  </si>
  <si>
    <t>Lab Technician</t>
  </si>
  <si>
    <t>Ritu Kapoor</t>
  </si>
  <si>
    <t>Sandeep Mehta</t>
  </si>
  <si>
    <t>Pharmacist</t>
  </si>
  <si>
    <t>Nisha Sharma</t>
  </si>
  <si>
    <t>Manoj Kumar</t>
  </si>
  <si>
    <t>Poonam Singh</t>
  </si>
  <si>
    <t>Deepa Gupta</t>
  </si>
  <si>
    <t>Rajiv Sharma</t>
  </si>
  <si>
    <t>Admin</t>
  </si>
  <si>
    <t>Meena Verma</t>
  </si>
  <si>
    <t>Vikas Arora</t>
  </si>
  <si>
    <t>Anita Mehta</t>
  </si>
  <si>
    <t>treatment_id</t>
  </si>
  <si>
    <t>treatment_name</t>
  </si>
  <si>
    <t>treatment_date</t>
  </si>
  <si>
    <t>treatment_cost</t>
  </si>
  <si>
    <t>treatment_status</t>
  </si>
  <si>
    <t>Blood Pressure Management</t>
  </si>
  <si>
    <t>Hormonal Treatment</t>
  </si>
  <si>
    <t>Joint Therapy</t>
  </si>
  <si>
    <t>Acne Treatment</t>
  </si>
  <si>
    <t>Migraine Treatment</t>
  </si>
  <si>
    <t>Fever Treatment</t>
  </si>
  <si>
    <t>Diabetes Management</t>
  </si>
  <si>
    <t>Ongoing</t>
  </si>
  <si>
    <t>Sinus Treatment</t>
  </si>
  <si>
    <t>Gastritis Treatment</t>
  </si>
  <si>
    <t>Thyroid Management</t>
  </si>
  <si>
    <t>Total Patients</t>
  </si>
  <si>
    <t>Total Doctors</t>
  </si>
  <si>
    <t>Total Departments</t>
  </si>
  <si>
    <t>Total Appointments</t>
  </si>
  <si>
    <t>Total Admissions</t>
  </si>
  <si>
    <t>insurance_id</t>
  </si>
  <si>
    <t>company</t>
  </si>
  <si>
    <t>plan_name</t>
  </si>
  <si>
    <t>insurance_limit</t>
  </si>
  <si>
    <t>Star Health</t>
  </si>
  <si>
    <t>Family Health Optima</t>
  </si>
  <si>
    <t>HDFC ERGO</t>
  </si>
  <si>
    <t>Optima Secure</t>
  </si>
  <si>
    <t>ICICI Lombard</t>
  </si>
  <si>
    <t>Complete Health Insurance</t>
  </si>
  <si>
    <t>Niva Bupa</t>
  </si>
  <si>
    <t>ReAssure 2.0</t>
  </si>
  <si>
    <t>Aditya Birla Health</t>
  </si>
  <si>
    <t>Activ Health Platinum</t>
  </si>
  <si>
    <t>Care Health Insurance</t>
  </si>
  <si>
    <t>Care Supreme</t>
  </si>
  <si>
    <t>Bajaj Allianz</t>
  </si>
  <si>
    <t>Health Guard Gold</t>
  </si>
  <si>
    <t>ManipalCigna</t>
  </si>
  <si>
    <t>ProHealth Prime</t>
  </si>
  <si>
    <t>Tata AIG</t>
  </si>
  <si>
    <t>Medicare Premier</t>
  </si>
  <si>
    <t>New India Assurance</t>
  </si>
  <si>
    <t>Mediclaim Policy</t>
  </si>
  <si>
    <t>Sum of total_amount</t>
  </si>
  <si>
    <t>Total Revenue</t>
  </si>
  <si>
    <t>Sum of payment_amount</t>
  </si>
  <si>
    <t>outstanding</t>
  </si>
  <si>
    <t>Row Labels</t>
  </si>
  <si>
    <t>Grand Total</t>
  </si>
  <si>
    <t>Count of patient_id</t>
  </si>
  <si>
    <t>Count of appointment_id</t>
  </si>
  <si>
    <t>Count of admission_id</t>
  </si>
  <si>
    <t>Total Amount</t>
  </si>
  <si>
    <t>Total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</si>
</sst>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4">
    <xf numFmtId="0" fontId="0" fillId="0" borderId="0" xfId="0"/>
    <xf numFmtId="22" fontId="0" fillId="0" borderId="0" xfId="0" applyNumberFormat="1"/>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cellXfs>
  <cellStyles count="1">
    <cellStyle name="Normal" xfId="0" builtinId="0"/>
  </cellStyles>
  <dxfs count="10">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s>
  <tableStyles count="0" defaultTableStyle="TableStyleMedium2"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pivotCacheDefinition" Target="pivotCache/pivotCacheDefinition11.xml"/><Relationship Id="rId39" Type="http://schemas.openxmlformats.org/officeDocument/2006/relationships/sharedStrings" Target="sharedStrings.xml"/><Relationship Id="rId21" Type="http://schemas.openxmlformats.org/officeDocument/2006/relationships/pivotCacheDefinition" Target="pivotCache/pivotCacheDefinition6.xml"/><Relationship Id="rId34" Type="http://schemas.microsoft.com/office/2007/relationships/slicerCache" Target="slicerCaches/slicerCache3.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29" Type="http://schemas.openxmlformats.org/officeDocument/2006/relationships/pivotCacheDefinition" Target="pivotCache/pivotCacheDefinition14.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microsoft.com/office/2007/relationships/slicerCache" Target="slicerCaches/slicerCache1.xml"/><Relationship Id="rId37" Type="http://schemas.openxmlformats.org/officeDocument/2006/relationships/connections" Target="connections.xml"/><Relationship Id="rId40"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openxmlformats.org/officeDocument/2006/relationships/pivotCacheDefinition" Target="pivotCache/pivotCacheDefinition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openxmlformats.org/officeDocument/2006/relationships/pivotCacheDefinition" Target="pivotCache/pivotCacheDefinition15.xml"/><Relationship Id="rId35" Type="http://schemas.microsoft.com/office/2007/relationships/slicerCache" Target="slicerCaches/slicerCache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microsoft.com/office/2007/relationships/slicerCache" Target="slicerCaches/slicerCache2.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dashboard.xlsx]Sheet8!PivotTable10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Patients</a:t>
            </a:r>
            <a:r>
              <a:rPr lang="en-US" baseline="0"/>
              <a:t> by Gender</a:t>
            </a:r>
            <a:endParaRPr lang="en-US"/>
          </a:p>
        </c:rich>
      </c:tx>
      <c:layout>
        <c:manualLayout>
          <c:xMode val="edge"/>
          <c:yMode val="edge"/>
          <c:x val="0.3218711762453180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6691846540157321"/>
              <c:y val="-1.3754040926394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8403830800686277"/>
              <c:y val="-6.877020463197110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Sheet8!$H$2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AA-45A4-974F-461756E7C5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AA-45A4-974F-461756E7C541}"/>
              </c:ext>
            </c:extLst>
          </c:dPt>
          <c:dLbls>
            <c:dLbl>
              <c:idx val="0"/>
              <c:layout>
                <c:manualLayout>
                  <c:x val="0.16691846540157321"/>
                  <c:y val="-1.37540409263942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AA-45A4-974F-461756E7C541}"/>
                </c:ext>
              </c:extLst>
            </c:dLbl>
            <c:dLbl>
              <c:idx val="1"/>
              <c:layout>
                <c:manualLayout>
                  <c:x val="-0.18403830800686277"/>
                  <c:y val="-6.877020463197110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AA-45A4-974F-461756E7C54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Sheet8!$G$3:$G$5</c:f>
              <c:strCache>
                <c:ptCount val="2"/>
                <c:pt idx="0">
                  <c:v>Female</c:v>
                </c:pt>
                <c:pt idx="1">
                  <c:v>Male</c:v>
                </c:pt>
              </c:strCache>
            </c:strRef>
          </c:cat>
          <c:val>
            <c:numRef>
              <c:f>Sheet8!$H$3:$H$5</c:f>
              <c:numCache>
                <c:formatCode>General</c:formatCode>
                <c:ptCount val="2"/>
                <c:pt idx="0">
                  <c:v>25</c:v>
                </c:pt>
                <c:pt idx="1">
                  <c:v>25</c:v>
                </c:pt>
              </c:numCache>
            </c:numRef>
          </c:val>
          <c:extLst>
            <c:ext xmlns:c16="http://schemas.microsoft.com/office/drawing/2014/chart" uri="{C3380CC4-5D6E-409C-BE32-E72D297353CC}">
              <c16:uniqueId val="{00000004-59AA-45A4-974F-461756E7C54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dashboard.xlsx]Sheet8!PivotTable11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Appointment</a:t>
            </a:r>
            <a:r>
              <a:rPr lang="en-US" baseline="0"/>
              <a: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79283801518995"/>
          <c:y val="0.2059299647463429"/>
          <c:w val="0.77237486454394189"/>
          <c:h val="0.64899331463053711"/>
        </c:manualLayout>
      </c:layout>
      <c:barChart>
        <c:barDir val="col"/>
        <c:grouping val="clustered"/>
        <c:varyColors val="0"/>
        <c:ser>
          <c:idx val="0"/>
          <c:order val="0"/>
          <c:tx>
            <c:strRef>
              <c:f>Sheet8!$E$18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Sheet8!$D$19:$D$21</c:f>
              <c:strCache>
                <c:ptCount val="2"/>
                <c:pt idx="0">
                  <c:v>Cancelled</c:v>
                </c:pt>
                <c:pt idx="1">
                  <c:v>Completed</c:v>
                </c:pt>
              </c:strCache>
            </c:strRef>
          </c:cat>
          <c:val>
            <c:numRef>
              <c:f>Sheet8!$E$19:$E$21</c:f>
              <c:numCache>
                <c:formatCode>General</c:formatCode>
                <c:ptCount val="2"/>
                <c:pt idx="0">
                  <c:v>2</c:v>
                </c:pt>
                <c:pt idx="1">
                  <c:v>18</c:v>
                </c:pt>
              </c:numCache>
            </c:numRef>
          </c:val>
          <c:extLst>
            <c:ext xmlns:c16="http://schemas.microsoft.com/office/drawing/2014/chart" uri="{C3380CC4-5D6E-409C-BE32-E72D297353CC}">
              <c16:uniqueId val="{00000000-2CD3-41CD-A809-1386A268C897}"/>
            </c:ext>
          </c:extLst>
        </c:ser>
        <c:dLbls>
          <c:dLblPos val="outEnd"/>
          <c:showLegendKey val="0"/>
          <c:showVal val="1"/>
          <c:showCatName val="0"/>
          <c:showSerName val="0"/>
          <c:showPercent val="0"/>
          <c:showBubbleSize val="0"/>
        </c:dLbls>
        <c:gapWidth val="219"/>
        <c:overlap val="-27"/>
        <c:axId val="49976639"/>
        <c:axId val="2071457999"/>
      </c:barChart>
      <c:catAx>
        <c:axId val="49976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457999"/>
        <c:crosses val="autoZero"/>
        <c:auto val="1"/>
        <c:lblAlgn val="ctr"/>
        <c:lblOffset val="100"/>
        <c:noMultiLvlLbl val="0"/>
      </c:catAx>
      <c:valAx>
        <c:axId val="2071457999"/>
        <c:scaling>
          <c:orientation val="minMax"/>
        </c:scaling>
        <c:delete val="1"/>
        <c:axPos val="l"/>
        <c:majorGridlines>
          <c:spPr>
            <a:ln w="9525" cap="flat" cmpd="sng" algn="ctr">
              <a:noFill/>
              <a:round/>
            </a:ln>
            <a:effectLst/>
          </c:spPr>
        </c:majorGridlines>
        <c:numFmt formatCode="General" sourceLinked="1"/>
        <c:majorTickMark val="out"/>
        <c:minorTickMark val="none"/>
        <c:tickLblPos val="nextTo"/>
        <c:crossAx val="49976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dashboard.xlsx]Sheet4!PivotTable13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Admissions by Departments</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Sheet4!$A$4:$A$10</c:f>
              <c:strCache>
                <c:ptCount val="6"/>
                <c:pt idx="0">
                  <c:v>Cardiology</c:v>
                </c:pt>
                <c:pt idx="1">
                  <c:v>Gastroenterology</c:v>
                </c:pt>
                <c:pt idx="2">
                  <c:v>General Medicine</c:v>
                </c:pt>
                <c:pt idx="3">
                  <c:v>Gynecology</c:v>
                </c:pt>
                <c:pt idx="4">
                  <c:v>Neurology</c:v>
                </c:pt>
                <c:pt idx="5">
                  <c:v>Orthopedics</c:v>
                </c:pt>
              </c:strCache>
            </c:strRef>
          </c:cat>
          <c:val>
            <c:numRef>
              <c:f>Sheet4!$B$4:$B$10</c:f>
              <c:numCache>
                <c:formatCode>General</c:formatCode>
                <c:ptCount val="6"/>
                <c:pt idx="0">
                  <c:v>2</c:v>
                </c:pt>
                <c:pt idx="1">
                  <c:v>2</c:v>
                </c:pt>
                <c:pt idx="2">
                  <c:v>2</c:v>
                </c:pt>
                <c:pt idx="3">
                  <c:v>1</c:v>
                </c:pt>
                <c:pt idx="4">
                  <c:v>2</c:v>
                </c:pt>
                <c:pt idx="5">
                  <c:v>1</c:v>
                </c:pt>
              </c:numCache>
            </c:numRef>
          </c:val>
          <c:extLst>
            <c:ext xmlns:c16="http://schemas.microsoft.com/office/drawing/2014/chart" uri="{C3380CC4-5D6E-409C-BE32-E72D297353CC}">
              <c16:uniqueId val="{00000000-4395-47FD-BE1D-437256BF6638}"/>
            </c:ext>
          </c:extLst>
        </c:ser>
        <c:dLbls>
          <c:dLblPos val="outEnd"/>
          <c:showLegendKey val="0"/>
          <c:showVal val="1"/>
          <c:showCatName val="0"/>
          <c:showSerName val="0"/>
          <c:showPercent val="0"/>
          <c:showBubbleSize val="0"/>
        </c:dLbls>
        <c:gapWidth val="182"/>
        <c:axId val="1020626575"/>
        <c:axId val="2071478383"/>
      </c:barChart>
      <c:catAx>
        <c:axId val="102062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478383"/>
        <c:crosses val="autoZero"/>
        <c:auto val="1"/>
        <c:lblAlgn val="ctr"/>
        <c:lblOffset val="100"/>
        <c:noMultiLvlLbl val="0"/>
      </c:catAx>
      <c:valAx>
        <c:axId val="2071478383"/>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020626575"/>
        <c:crosses val="autoZero"/>
        <c:crossBetween val="between"/>
      </c:valAx>
    </c:plotArea>
    <c:plotVisOnly val="1"/>
    <c:dispBlanksAs val="gap"/>
    <c:showDLblsOverMax val="0"/>
    <c:extLst/>
  </c:chart>
  <c:spPr>
    <a:ln>
      <a:solidFill>
        <a:schemeClr val="accent1">
          <a:shade val="50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dashboard.xlsx]Sheet4!PivotTable14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Sheet4!$C$18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Sheet4!$B$19:$B$25</c:f>
              <c:strCache>
                <c:ptCount val="6"/>
                <c:pt idx="0">
                  <c:v>Cardiology</c:v>
                </c:pt>
                <c:pt idx="1">
                  <c:v>Gastroenterology</c:v>
                </c:pt>
                <c:pt idx="2">
                  <c:v>General Medicine</c:v>
                </c:pt>
                <c:pt idx="3">
                  <c:v>Gynecology</c:v>
                </c:pt>
                <c:pt idx="4">
                  <c:v>Neurology</c:v>
                </c:pt>
                <c:pt idx="5">
                  <c:v>Orthopedics</c:v>
                </c:pt>
              </c:strCache>
            </c:strRef>
          </c:cat>
          <c:val>
            <c:numRef>
              <c:f>Sheet4!$C$19:$C$25</c:f>
              <c:numCache>
                <c:formatCode>General</c:formatCode>
                <c:ptCount val="6"/>
                <c:pt idx="0">
                  <c:v>26900</c:v>
                </c:pt>
                <c:pt idx="1">
                  <c:v>24900</c:v>
                </c:pt>
                <c:pt idx="2">
                  <c:v>19900</c:v>
                </c:pt>
                <c:pt idx="3">
                  <c:v>13000</c:v>
                </c:pt>
                <c:pt idx="4">
                  <c:v>33000</c:v>
                </c:pt>
                <c:pt idx="5">
                  <c:v>14400</c:v>
                </c:pt>
              </c:numCache>
            </c:numRef>
          </c:val>
          <c:extLst>
            <c:ext xmlns:c16="http://schemas.microsoft.com/office/drawing/2014/chart" uri="{C3380CC4-5D6E-409C-BE32-E72D297353CC}">
              <c16:uniqueId val="{00000000-D405-4528-8FB5-6EF6086B739E}"/>
            </c:ext>
          </c:extLst>
        </c:ser>
        <c:dLbls>
          <c:dLblPos val="outEnd"/>
          <c:showLegendKey val="0"/>
          <c:showVal val="1"/>
          <c:showCatName val="0"/>
          <c:showSerName val="0"/>
          <c:showPercent val="0"/>
          <c:showBubbleSize val="0"/>
        </c:dLbls>
        <c:gapWidth val="182"/>
        <c:axId val="1020626575"/>
        <c:axId val="2071478383"/>
      </c:barChart>
      <c:catAx>
        <c:axId val="102062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478383"/>
        <c:crosses val="autoZero"/>
        <c:auto val="1"/>
        <c:lblAlgn val="ctr"/>
        <c:lblOffset val="100"/>
        <c:noMultiLvlLbl val="0"/>
      </c:catAx>
      <c:valAx>
        <c:axId val="2071478383"/>
        <c:scaling>
          <c:orientation val="minMax"/>
        </c:scaling>
        <c:delete val="1"/>
        <c:axPos val="b"/>
        <c:numFmt formatCode="General" sourceLinked="1"/>
        <c:majorTickMark val="none"/>
        <c:minorTickMark val="none"/>
        <c:tickLblPos val="nextTo"/>
        <c:crossAx val="1020626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dashboard.xlsx]Sheet4!PivotTable15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6029566174920465"/>
              <c:y val="-0.1234952632366131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776249224788484"/>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945974324039437"/>
              <c:y val="1.176145364158220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9495418320849214"/>
              <c:y val="-0.164660350982150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Sheet4!$F$17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73-49C1-8339-FE3B9FEABE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73-49C1-8339-FE3B9FEABE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73-49C1-8339-FE3B9FEABE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73-49C1-8339-FE3B9FEABEF9}"/>
              </c:ext>
            </c:extLst>
          </c:dPt>
          <c:dLbls>
            <c:dLbl>
              <c:idx val="0"/>
              <c:layout>
                <c:manualLayout>
                  <c:x val="0.16029566174920465"/>
                  <c:y val="-0.123495263236613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B73-49C1-8339-FE3B9FEABEF9}"/>
                </c:ext>
              </c:extLst>
            </c:dLbl>
            <c:dLbl>
              <c:idx val="1"/>
              <c:layout>
                <c:manualLayout>
                  <c:x val="0.1776249224788484"/>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B73-49C1-8339-FE3B9FEABEF9}"/>
                </c:ext>
              </c:extLst>
            </c:dLbl>
            <c:dLbl>
              <c:idx val="2"/>
              <c:layout>
                <c:manualLayout>
                  <c:x val="-0.2945974324039437"/>
                  <c:y val="1.176145364158220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B73-49C1-8339-FE3B9FEABEF9}"/>
                </c:ext>
              </c:extLst>
            </c:dLbl>
            <c:dLbl>
              <c:idx val="3"/>
              <c:layout>
                <c:manualLayout>
                  <c:x val="-0.19495418320849214"/>
                  <c:y val="-0.164660350982150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B73-49C1-8339-FE3B9FEABEF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Sheet4!$E$18:$E$22</c:f>
              <c:strCache>
                <c:ptCount val="4"/>
                <c:pt idx="0">
                  <c:v>Cash</c:v>
                </c:pt>
                <c:pt idx="1">
                  <c:v>Credit Card</c:v>
                </c:pt>
                <c:pt idx="2">
                  <c:v>Debit Card</c:v>
                </c:pt>
                <c:pt idx="3">
                  <c:v>UPI</c:v>
                </c:pt>
              </c:strCache>
            </c:strRef>
          </c:cat>
          <c:val>
            <c:numRef>
              <c:f>Sheet4!$F$18:$F$22</c:f>
              <c:numCache>
                <c:formatCode>General</c:formatCode>
                <c:ptCount val="4"/>
                <c:pt idx="0">
                  <c:v>24500</c:v>
                </c:pt>
                <c:pt idx="1">
                  <c:v>26500</c:v>
                </c:pt>
                <c:pt idx="2">
                  <c:v>12800</c:v>
                </c:pt>
                <c:pt idx="3">
                  <c:v>47600</c:v>
                </c:pt>
              </c:numCache>
            </c:numRef>
          </c:val>
          <c:extLst>
            <c:ext xmlns:c16="http://schemas.microsoft.com/office/drawing/2014/chart" uri="{C3380CC4-5D6E-409C-BE32-E72D297353CC}">
              <c16:uniqueId val="{00000008-EB73-49C1-8339-FE3B9FEABEF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dashboard.xlsx]Sheet4!PivotTable17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vs Payments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Sheet4!$G$5</c:f>
              <c:strCache>
                <c:ptCount val="1"/>
                <c:pt idx="0">
                  <c:v>Total Payment</c:v>
                </c:pt>
              </c:strCache>
            </c:strRef>
          </c:tx>
          <c:spPr>
            <a:solidFill>
              <a:schemeClr val="accent1"/>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Sheet4!$G$6</c:f>
              <c:strCache>
                <c:ptCount val="1"/>
                <c:pt idx="0">
                  <c:v>Total</c:v>
                </c:pt>
              </c:strCache>
            </c:strRef>
          </c:cat>
          <c:val>
            <c:numRef>
              <c:f>Sheet4!$G$6</c:f>
              <c:numCache>
                <c:formatCode>General</c:formatCode>
                <c:ptCount val="1"/>
                <c:pt idx="0">
                  <c:v>111400</c:v>
                </c:pt>
              </c:numCache>
            </c:numRef>
          </c:val>
          <c:extLst>
            <c:ext xmlns:c16="http://schemas.microsoft.com/office/drawing/2014/chart" uri="{C3380CC4-5D6E-409C-BE32-E72D297353CC}">
              <c16:uniqueId val="{00000000-1A16-497E-85B3-C1B09C9E8A0E}"/>
            </c:ext>
          </c:extLst>
        </c:ser>
        <c:ser>
          <c:idx val="1"/>
          <c:order val="1"/>
          <c:tx>
            <c:strRef>
              <c:f>Sheet4!$H$5</c:f>
              <c:strCache>
                <c:ptCount val="1"/>
                <c:pt idx="0">
                  <c:v>Total Revenue</c:v>
                </c:pt>
              </c:strCache>
            </c:strRef>
          </c:tx>
          <c:spPr>
            <a:solidFill>
              <a:schemeClr val="accent2"/>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Sheet4!$G$6</c:f>
              <c:strCache>
                <c:ptCount val="1"/>
                <c:pt idx="0">
                  <c:v>Total</c:v>
                </c:pt>
              </c:strCache>
            </c:strRef>
          </c:cat>
          <c:val>
            <c:numRef>
              <c:f>Sheet4!$H$6</c:f>
              <c:numCache>
                <c:formatCode>General</c:formatCode>
                <c:ptCount val="1"/>
                <c:pt idx="0">
                  <c:v>132100</c:v>
                </c:pt>
              </c:numCache>
            </c:numRef>
          </c:val>
          <c:extLst>
            <c:ext xmlns:c16="http://schemas.microsoft.com/office/drawing/2014/chart" uri="{C3380CC4-5D6E-409C-BE32-E72D297353CC}">
              <c16:uniqueId val="{00000001-1A16-497E-85B3-C1B09C9E8A0E}"/>
            </c:ext>
          </c:extLst>
        </c:ser>
        <c:dLbls>
          <c:dLblPos val="outEnd"/>
          <c:showLegendKey val="0"/>
          <c:showVal val="1"/>
          <c:showCatName val="0"/>
          <c:showSerName val="0"/>
          <c:showPercent val="0"/>
          <c:showBubbleSize val="0"/>
        </c:dLbls>
        <c:gapWidth val="219"/>
        <c:overlap val="-27"/>
        <c:axId val="132974575"/>
        <c:axId val="1857612735"/>
      </c:barChart>
      <c:catAx>
        <c:axId val="132974575"/>
        <c:scaling>
          <c:orientation val="minMax"/>
        </c:scaling>
        <c:delete val="1"/>
        <c:axPos val="b"/>
        <c:numFmt formatCode="General" sourceLinked="1"/>
        <c:majorTickMark val="out"/>
        <c:minorTickMark val="none"/>
        <c:tickLblPos val="nextTo"/>
        <c:crossAx val="1857612735"/>
        <c:crosses val="autoZero"/>
        <c:auto val="1"/>
        <c:lblAlgn val="ctr"/>
        <c:lblOffset val="100"/>
        <c:noMultiLvlLbl val="0"/>
      </c:catAx>
      <c:valAx>
        <c:axId val="1857612735"/>
        <c:scaling>
          <c:orientation val="minMax"/>
        </c:scaling>
        <c:delete val="1"/>
        <c:axPos val="l"/>
        <c:majorGridlines>
          <c:spPr>
            <a:ln w="9525" cap="flat" cmpd="sng" algn="ctr">
              <a:noFill/>
              <a:round/>
            </a:ln>
            <a:effectLst/>
          </c:spPr>
        </c:majorGridlines>
        <c:numFmt formatCode="General" sourceLinked="1"/>
        <c:majorTickMark val="out"/>
        <c:minorTickMark val="none"/>
        <c:tickLblPos val="nextTo"/>
        <c:crossAx val="1329745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fi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44824</xdr:colOff>
      <xdr:row>0</xdr:row>
      <xdr:rowOff>38100</xdr:rowOff>
    </xdr:from>
    <xdr:to>
      <xdr:col>23</xdr:col>
      <xdr:colOff>197223</xdr:colOff>
      <xdr:row>4</xdr:row>
      <xdr:rowOff>30480</xdr:rowOff>
    </xdr:to>
    <xdr:sp macro="" textlink="">
      <xdr:nvSpPr>
        <xdr:cNvPr id="2" name="Rectangle: Rounded Corners 1">
          <a:extLst>
            <a:ext uri="{FF2B5EF4-FFF2-40B4-BE49-F238E27FC236}">
              <a16:creationId xmlns:a16="http://schemas.microsoft.com/office/drawing/2014/main" id="{643E7F8C-DF0B-415F-A12C-D4F938255438}"/>
            </a:ext>
          </a:extLst>
        </xdr:cNvPr>
        <xdr:cNvSpPr/>
      </xdr:nvSpPr>
      <xdr:spPr>
        <a:xfrm>
          <a:off x="44824" y="38100"/>
          <a:ext cx="14173199" cy="709556"/>
        </a:xfrm>
        <a:prstGeom prst="roundRect">
          <a:avLst/>
        </a:prstGeom>
        <a:solidFill>
          <a:schemeClr val="accent1"/>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376517</xdr:colOff>
      <xdr:row>0</xdr:row>
      <xdr:rowOff>99060</xdr:rowOff>
    </xdr:from>
    <xdr:to>
      <xdr:col>22</xdr:col>
      <xdr:colOff>134471</xdr:colOff>
      <xdr:row>4</xdr:row>
      <xdr:rowOff>0</xdr:rowOff>
    </xdr:to>
    <xdr:sp macro="" textlink="">
      <xdr:nvSpPr>
        <xdr:cNvPr id="3" name="TextBox 2">
          <a:extLst>
            <a:ext uri="{FF2B5EF4-FFF2-40B4-BE49-F238E27FC236}">
              <a16:creationId xmlns:a16="http://schemas.microsoft.com/office/drawing/2014/main" id="{88B51A55-23FA-49C3-9C5A-C7690678E2B9}"/>
            </a:ext>
          </a:extLst>
        </xdr:cNvPr>
        <xdr:cNvSpPr txBox="1"/>
      </xdr:nvSpPr>
      <xdr:spPr>
        <a:xfrm>
          <a:off x="1595717" y="99060"/>
          <a:ext cx="11949954" cy="61811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bg1"/>
              </a:solidFill>
              <a:latin typeface="Times New Roman" panose="02020603050405020304" pitchFamily="18" charset="0"/>
              <a:cs typeface="Times New Roman" panose="02020603050405020304" pitchFamily="18" charset="0"/>
            </a:rPr>
            <a:t>HEALTH CARE DATA ANALYSIS</a:t>
          </a:r>
        </a:p>
      </xdr:txBody>
    </xdr:sp>
    <xdr:clientData/>
  </xdr:twoCellAnchor>
  <xdr:twoCellAnchor>
    <xdr:from>
      <xdr:col>3</xdr:col>
      <xdr:colOff>492610</xdr:colOff>
      <xdr:row>5</xdr:row>
      <xdr:rowOff>446</xdr:rowOff>
    </xdr:from>
    <xdr:to>
      <xdr:col>6</xdr:col>
      <xdr:colOff>161365</xdr:colOff>
      <xdr:row>9</xdr:row>
      <xdr:rowOff>143435</xdr:rowOff>
    </xdr:to>
    <xdr:sp macro="" textlink="">
      <xdr:nvSpPr>
        <xdr:cNvPr id="4" name="Speech Bubble: Rectangle with Corners Rounded 3">
          <a:extLst>
            <a:ext uri="{FF2B5EF4-FFF2-40B4-BE49-F238E27FC236}">
              <a16:creationId xmlns:a16="http://schemas.microsoft.com/office/drawing/2014/main" id="{B3D4E0CC-BC48-494A-8209-8A68FDF120C0}"/>
            </a:ext>
          </a:extLst>
        </xdr:cNvPr>
        <xdr:cNvSpPr/>
      </xdr:nvSpPr>
      <xdr:spPr>
        <a:xfrm>
          <a:off x="2321410" y="896917"/>
          <a:ext cx="1497555" cy="860165"/>
        </a:xfrm>
        <a:prstGeom prst="wedgeRound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lt1"/>
              </a:solidFill>
              <a:effectLst/>
              <a:latin typeface="+mn-lt"/>
              <a:ea typeface="+mn-ea"/>
              <a:cs typeface="+mn-cs"/>
            </a:rPr>
            <a:t>Total Patients</a:t>
          </a:r>
          <a:r>
            <a:rPr lang="en-IN" sz="1400"/>
            <a:t> </a:t>
          </a:r>
        </a:p>
        <a:p>
          <a:pPr algn="ctr"/>
          <a:r>
            <a:rPr lang="en-IN" sz="2400" b="0" i="0" u="none" strike="noStrike">
              <a:solidFill>
                <a:schemeClr val="lt1"/>
              </a:solidFill>
              <a:effectLst/>
              <a:latin typeface="+mn-lt"/>
              <a:ea typeface="+mn-ea"/>
              <a:cs typeface="+mn-cs"/>
            </a:rPr>
            <a:t>50</a:t>
          </a:r>
          <a:r>
            <a:rPr lang="en-IN" sz="2400"/>
            <a:t> </a:t>
          </a:r>
        </a:p>
      </xdr:txBody>
    </xdr:sp>
    <xdr:clientData/>
  </xdr:twoCellAnchor>
  <xdr:twoCellAnchor>
    <xdr:from>
      <xdr:col>6</xdr:col>
      <xdr:colOff>277907</xdr:colOff>
      <xdr:row>5</xdr:row>
      <xdr:rowOff>8067</xdr:rowOff>
    </xdr:from>
    <xdr:to>
      <xdr:col>9</xdr:col>
      <xdr:colOff>26894</xdr:colOff>
      <xdr:row>9</xdr:row>
      <xdr:rowOff>134470</xdr:rowOff>
    </xdr:to>
    <xdr:sp macro="" textlink="">
      <xdr:nvSpPr>
        <xdr:cNvPr id="5" name="Speech Bubble: Rectangle with Corners Rounded 4">
          <a:extLst>
            <a:ext uri="{FF2B5EF4-FFF2-40B4-BE49-F238E27FC236}">
              <a16:creationId xmlns:a16="http://schemas.microsoft.com/office/drawing/2014/main" id="{62FBD88F-5B9A-438C-A36F-FF474DD08095}"/>
            </a:ext>
          </a:extLst>
        </xdr:cNvPr>
        <xdr:cNvSpPr/>
      </xdr:nvSpPr>
      <xdr:spPr>
        <a:xfrm>
          <a:off x="3935507" y="904538"/>
          <a:ext cx="1577787" cy="843579"/>
        </a:xfrm>
        <a:prstGeom prst="wedgeRound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lt1"/>
              </a:solidFill>
              <a:effectLst/>
              <a:latin typeface="+mn-lt"/>
              <a:ea typeface="+mn-ea"/>
              <a:cs typeface="+mn-cs"/>
            </a:rPr>
            <a:t>Total Doctors</a:t>
          </a:r>
        </a:p>
        <a:p>
          <a:pPr algn="ctr"/>
          <a:r>
            <a:rPr lang="en-IN" sz="1200"/>
            <a:t> </a:t>
          </a:r>
          <a:r>
            <a:rPr lang="en-IN" sz="2400" b="0" i="0" u="none" strike="noStrike">
              <a:solidFill>
                <a:schemeClr val="lt1"/>
              </a:solidFill>
              <a:effectLst/>
              <a:latin typeface="+mn-lt"/>
              <a:ea typeface="+mn-ea"/>
              <a:cs typeface="+mn-cs"/>
            </a:rPr>
            <a:t>10</a:t>
          </a:r>
          <a:r>
            <a:rPr lang="en-IN" sz="2400"/>
            <a:t> </a:t>
          </a:r>
        </a:p>
      </xdr:txBody>
    </xdr:sp>
    <xdr:clientData/>
  </xdr:twoCellAnchor>
  <xdr:twoCellAnchor>
    <xdr:from>
      <xdr:col>9</xdr:col>
      <xdr:colOff>215154</xdr:colOff>
      <xdr:row>5</xdr:row>
      <xdr:rowOff>6724</xdr:rowOff>
    </xdr:from>
    <xdr:to>
      <xdr:col>11</xdr:col>
      <xdr:colOff>466166</xdr:colOff>
      <xdr:row>9</xdr:row>
      <xdr:rowOff>143436</xdr:rowOff>
    </xdr:to>
    <xdr:sp macro="" textlink="">
      <xdr:nvSpPr>
        <xdr:cNvPr id="6" name="Speech Bubble: Rectangle with Corners Rounded 5">
          <a:extLst>
            <a:ext uri="{FF2B5EF4-FFF2-40B4-BE49-F238E27FC236}">
              <a16:creationId xmlns:a16="http://schemas.microsoft.com/office/drawing/2014/main" id="{027BA6B6-ECBB-4DE4-8022-22AE875F8BDD}"/>
            </a:ext>
          </a:extLst>
        </xdr:cNvPr>
        <xdr:cNvSpPr/>
      </xdr:nvSpPr>
      <xdr:spPr>
        <a:xfrm>
          <a:off x="5701554" y="903195"/>
          <a:ext cx="1470212" cy="853888"/>
        </a:xfrm>
        <a:prstGeom prst="wedgeRound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i="0" u="none" strike="noStrike">
              <a:solidFill>
                <a:schemeClr val="lt1"/>
              </a:solidFill>
              <a:effectLst/>
              <a:latin typeface="+mn-lt"/>
              <a:ea typeface="+mn-ea"/>
              <a:cs typeface="+mn-cs"/>
            </a:rPr>
            <a:t>Total Departments</a:t>
          </a:r>
          <a:r>
            <a:rPr lang="en-IN" sz="1200"/>
            <a:t> </a:t>
          </a:r>
        </a:p>
        <a:p>
          <a:pPr algn="ctr"/>
          <a:r>
            <a:rPr lang="en-IN" sz="2400" b="0" i="0" u="none" strike="noStrike">
              <a:solidFill>
                <a:schemeClr val="lt1"/>
              </a:solidFill>
              <a:effectLst/>
              <a:latin typeface="+mn-lt"/>
              <a:ea typeface="+mn-ea"/>
              <a:cs typeface="+mn-cs"/>
            </a:rPr>
            <a:t>10</a:t>
          </a:r>
          <a:r>
            <a:rPr lang="en-IN" sz="2400"/>
            <a:t> </a:t>
          </a:r>
        </a:p>
      </xdr:txBody>
    </xdr:sp>
    <xdr:clientData/>
  </xdr:twoCellAnchor>
  <xdr:twoCellAnchor>
    <xdr:from>
      <xdr:col>12</xdr:col>
      <xdr:colOff>44823</xdr:colOff>
      <xdr:row>5</xdr:row>
      <xdr:rowOff>9412</xdr:rowOff>
    </xdr:from>
    <xdr:to>
      <xdr:col>14</xdr:col>
      <xdr:colOff>466164</xdr:colOff>
      <xdr:row>9</xdr:row>
      <xdr:rowOff>161365</xdr:rowOff>
    </xdr:to>
    <xdr:sp macro="" textlink="">
      <xdr:nvSpPr>
        <xdr:cNvPr id="7" name="Speech Bubble: Rectangle with Corners Rounded 6">
          <a:extLst>
            <a:ext uri="{FF2B5EF4-FFF2-40B4-BE49-F238E27FC236}">
              <a16:creationId xmlns:a16="http://schemas.microsoft.com/office/drawing/2014/main" id="{32047B0E-A258-4ED6-A6F8-EB8AEA73C6CD}"/>
            </a:ext>
          </a:extLst>
        </xdr:cNvPr>
        <xdr:cNvSpPr/>
      </xdr:nvSpPr>
      <xdr:spPr>
        <a:xfrm>
          <a:off x="7360023" y="905883"/>
          <a:ext cx="1640541" cy="869129"/>
        </a:xfrm>
        <a:prstGeom prst="wedgeRound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i="0" u="none" strike="noStrike">
              <a:solidFill>
                <a:schemeClr val="lt1"/>
              </a:solidFill>
              <a:effectLst/>
              <a:latin typeface="+mn-lt"/>
              <a:ea typeface="+mn-ea"/>
              <a:cs typeface="+mn-cs"/>
            </a:rPr>
            <a:t>Total Appointments</a:t>
          </a:r>
          <a:r>
            <a:rPr lang="en-IN" sz="1200"/>
            <a:t>  </a:t>
          </a:r>
          <a:r>
            <a:rPr lang="en-IN" sz="2400" b="0" i="0" u="none" strike="noStrike">
              <a:solidFill>
                <a:schemeClr val="lt1"/>
              </a:solidFill>
              <a:effectLst/>
              <a:latin typeface="+mn-lt"/>
              <a:ea typeface="+mn-ea"/>
              <a:cs typeface="+mn-cs"/>
            </a:rPr>
            <a:t>20</a:t>
          </a:r>
          <a:r>
            <a:rPr lang="en-IN" sz="2400"/>
            <a:t> </a:t>
          </a:r>
        </a:p>
      </xdr:txBody>
    </xdr:sp>
    <xdr:clientData/>
  </xdr:twoCellAnchor>
  <xdr:twoCellAnchor>
    <xdr:from>
      <xdr:col>14</xdr:col>
      <xdr:colOff>591672</xdr:colOff>
      <xdr:row>4</xdr:row>
      <xdr:rowOff>178397</xdr:rowOff>
    </xdr:from>
    <xdr:to>
      <xdr:col>17</xdr:col>
      <xdr:colOff>484096</xdr:colOff>
      <xdr:row>9</xdr:row>
      <xdr:rowOff>161364</xdr:rowOff>
    </xdr:to>
    <xdr:sp macro="" textlink="">
      <xdr:nvSpPr>
        <xdr:cNvPr id="8" name="Speech Bubble: Rectangle with Corners Rounded 7">
          <a:extLst>
            <a:ext uri="{FF2B5EF4-FFF2-40B4-BE49-F238E27FC236}">
              <a16:creationId xmlns:a16="http://schemas.microsoft.com/office/drawing/2014/main" id="{7F9D5AE0-60F1-451E-B2FA-48389CD127F9}"/>
            </a:ext>
          </a:extLst>
        </xdr:cNvPr>
        <xdr:cNvSpPr/>
      </xdr:nvSpPr>
      <xdr:spPr>
        <a:xfrm>
          <a:off x="9126072" y="895573"/>
          <a:ext cx="1721224" cy="879438"/>
        </a:xfrm>
        <a:prstGeom prst="wedgeRound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i="0" u="none" strike="noStrike">
              <a:solidFill>
                <a:schemeClr val="lt1"/>
              </a:solidFill>
              <a:effectLst/>
              <a:latin typeface="+mn-lt"/>
              <a:ea typeface="+mn-ea"/>
              <a:cs typeface="+mn-cs"/>
            </a:rPr>
            <a:t>Total Admissions</a:t>
          </a:r>
          <a:r>
            <a:rPr lang="en-IN" sz="1200"/>
            <a:t> </a:t>
          </a:r>
        </a:p>
        <a:p>
          <a:pPr algn="ctr"/>
          <a:r>
            <a:rPr lang="en-IN" sz="2400" b="0" i="0" u="none" strike="noStrike">
              <a:solidFill>
                <a:schemeClr val="lt1"/>
              </a:solidFill>
              <a:effectLst/>
              <a:latin typeface="+mn-lt"/>
              <a:ea typeface="+mn-ea"/>
              <a:cs typeface="+mn-cs"/>
            </a:rPr>
            <a:t>10</a:t>
          </a:r>
          <a:r>
            <a:rPr lang="en-IN" sz="2400"/>
            <a:t> </a:t>
          </a:r>
        </a:p>
      </xdr:txBody>
    </xdr:sp>
    <xdr:clientData/>
  </xdr:twoCellAnchor>
  <xdr:twoCellAnchor>
    <xdr:from>
      <xdr:col>18</xdr:col>
      <xdr:colOff>0</xdr:colOff>
      <xdr:row>5</xdr:row>
      <xdr:rowOff>447</xdr:rowOff>
    </xdr:from>
    <xdr:to>
      <xdr:col>20</xdr:col>
      <xdr:colOff>385482</xdr:colOff>
      <xdr:row>9</xdr:row>
      <xdr:rowOff>152399</xdr:rowOff>
    </xdr:to>
    <xdr:sp macro="" textlink="">
      <xdr:nvSpPr>
        <xdr:cNvPr id="9" name="Speech Bubble: Rectangle with Corners Rounded 8">
          <a:extLst>
            <a:ext uri="{FF2B5EF4-FFF2-40B4-BE49-F238E27FC236}">
              <a16:creationId xmlns:a16="http://schemas.microsoft.com/office/drawing/2014/main" id="{2172269E-AFDC-4572-99D3-9A9559AA7A07}"/>
            </a:ext>
          </a:extLst>
        </xdr:cNvPr>
        <xdr:cNvSpPr/>
      </xdr:nvSpPr>
      <xdr:spPr>
        <a:xfrm>
          <a:off x="10972800" y="896918"/>
          <a:ext cx="1604682" cy="869128"/>
        </a:xfrm>
        <a:prstGeom prst="wedgeRound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i="0" u="none" strike="noStrike">
              <a:solidFill>
                <a:schemeClr val="lt1"/>
              </a:solidFill>
              <a:effectLst/>
              <a:latin typeface="+mn-lt"/>
              <a:ea typeface="+mn-ea"/>
              <a:cs typeface="+mn-cs"/>
            </a:rPr>
            <a:t>Total Revenue</a:t>
          </a:r>
          <a:r>
            <a:rPr lang="en-IN" sz="1200"/>
            <a:t> </a:t>
          </a:r>
          <a:r>
            <a:rPr lang="en-IN" sz="2000"/>
            <a:t>Rs.</a:t>
          </a:r>
          <a:r>
            <a:rPr lang="en-IN" sz="2000" b="0" i="0" u="none" strike="noStrike">
              <a:solidFill>
                <a:schemeClr val="lt1"/>
              </a:solidFill>
              <a:effectLst/>
              <a:latin typeface="+mn-lt"/>
              <a:ea typeface="+mn-ea"/>
              <a:cs typeface="+mn-cs"/>
            </a:rPr>
            <a:t>132,100</a:t>
          </a:r>
          <a:r>
            <a:rPr lang="en-IN" sz="2000"/>
            <a:t> </a:t>
          </a:r>
        </a:p>
      </xdr:txBody>
    </xdr:sp>
    <xdr:clientData/>
  </xdr:twoCellAnchor>
  <xdr:twoCellAnchor>
    <xdr:from>
      <xdr:col>20</xdr:col>
      <xdr:colOff>537882</xdr:colOff>
      <xdr:row>5</xdr:row>
      <xdr:rowOff>34963</xdr:rowOff>
    </xdr:from>
    <xdr:to>
      <xdr:col>23</xdr:col>
      <xdr:colOff>227703</xdr:colOff>
      <xdr:row>9</xdr:row>
      <xdr:rowOff>161367</xdr:rowOff>
    </xdr:to>
    <xdr:sp macro="" textlink="">
      <xdr:nvSpPr>
        <xdr:cNvPr id="11" name="Speech Bubble: Rectangle with Corners Rounded 10">
          <a:extLst>
            <a:ext uri="{FF2B5EF4-FFF2-40B4-BE49-F238E27FC236}">
              <a16:creationId xmlns:a16="http://schemas.microsoft.com/office/drawing/2014/main" id="{B381E63D-2216-4BAE-85ED-B5D5D5BD7650}"/>
            </a:ext>
          </a:extLst>
        </xdr:cNvPr>
        <xdr:cNvSpPr/>
      </xdr:nvSpPr>
      <xdr:spPr>
        <a:xfrm>
          <a:off x="12729882" y="931434"/>
          <a:ext cx="1518621" cy="843580"/>
        </a:xfrm>
        <a:prstGeom prst="wedgeRound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atin typeface="+mn-lt"/>
            </a:rPr>
            <a:t>Outstanding</a:t>
          </a:r>
        </a:p>
        <a:p>
          <a:pPr algn="ctr"/>
          <a:r>
            <a:rPr lang="en-IN" sz="2400" b="0" i="0" u="none" strike="noStrike">
              <a:solidFill>
                <a:schemeClr val="lt1"/>
              </a:solidFill>
              <a:effectLst/>
              <a:latin typeface="+mn-lt"/>
              <a:ea typeface="+mn-ea"/>
              <a:cs typeface="+mn-cs"/>
            </a:rPr>
            <a:t>Rs.20,700</a:t>
          </a:r>
          <a:r>
            <a:rPr lang="en-IN" sz="2400"/>
            <a:t> </a:t>
          </a:r>
        </a:p>
      </xdr:txBody>
    </xdr:sp>
    <xdr:clientData/>
  </xdr:twoCellAnchor>
  <xdr:twoCellAnchor>
    <xdr:from>
      <xdr:col>11</xdr:col>
      <xdr:colOff>134471</xdr:colOff>
      <xdr:row>11</xdr:row>
      <xdr:rowOff>17929</xdr:rowOff>
    </xdr:from>
    <xdr:to>
      <xdr:col>16</xdr:col>
      <xdr:colOff>53788</xdr:colOff>
      <xdr:row>21</xdr:row>
      <xdr:rowOff>71718</xdr:rowOff>
    </xdr:to>
    <xdr:graphicFrame macro="">
      <xdr:nvGraphicFramePr>
        <xdr:cNvPr id="12" name="Chart 11">
          <a:extLst>
            <a:ext uri="{FF2B5EF4-FFF2-40B4-BE49-F238E27FC236}">
              <a16:creationId xmlns:a16="http://schemas.microsoft.com/office/drawing/2014/main" id="{666A480C-D01E-417E-B25D-5F0C4D2B3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268940</xdr:colOff>
      <xdr:row>11</xdr:row>
      <xdr:rowOff>17931</xdr:rowOff>
    </xdr:from>
    <xdr:to>
      <xdr:col>23</xdr:col>
      <xdr:colOff>242045</xdr:colOff>
      <xdr:row>21</xdr:row>
      <xdr:rowOff>80684</xdr:rowOff>
    </xdr:to>
    <xdr:graphicFrame macro="">
      <xdr:nvGraphicFramePr>
        <xdr:cNvPr id="13" name="Chart 12">
          <a:extLst>
            <a:ext uri="{FF2B5EF4-FFF2-40B4-BE49-F238E27FC236}">
              <a16:creationId xmlns:a16="http://schemas.microsoft.com/office/drawing/2014/main" id="{3646084F-9748-4D0B-849F-206FCFAA6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510987</xdr:colOff>
      <xdr:row>11</xdr:row>
      <xdr:rowOff>17931</xdr:rowOff>
    </xdr:from>
    <xdr:to>
      <xdr:col>10</xdr:col>
      <xdr:colOff>546846</xdr:colOff>
      <xdr:row>21</xdr:row>
      <xdr:rowOff>98166</xdr:rowOff>
    </xdr:to>
    <xdr:graphicFrame macro="">
      <xdr:nvGraphicFramePr>
        <xdr:cNvPr id="14" name="Chart 13">
          <a:extLst>
            <a:ext uri="{FF2B5EF4-FFF2-40B4-BE49-F238E27FC236}">
              <a16:creationId xmlns:a16="http://schemas.microsoft.com/office/drawing/2014/main" id="{38DB5378-74A8-4CFC-A3CD-1EC664E8A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503367</xdr:colOff>
      <xdr:row>22</xdr:row>
      <xdr:rowOff>74854</xdr:rowOff>
    </xdr:from>
    <xdr:to>
      <xdr:col>10</xdr:col>
      <xdr:colOff>555811</xdr:colOff>
      <xdr:row>34</xdr:row>
      <xdr:rowOff>53787</xdr:rowOff>
    </xdr:to>
    <xdr:graphicFrame macro="">
      <xdr:nvGraphicFramePr>
        <xdr:cNvPr id="16" name="Chart 15">
          <a:extLst>
            <a:ext uri="{FF2B5EF4-FFF2-40B4-BE49-F238E27FC236}">
              <a16:creationId xmlns:a16="http://schemas.microsoft.com/office/drawing/2014/main" id="{DC3AA217-5217-4AED-A09D-A99E7F6F2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152400</xdr:colOff>
      <xdr:row>22</xdr:row>
      <xdr:rowOff>63649</xdr:rowOff>
    </xdr:from>
    <xdr:to>
      <xdr:col>16</xdr:col>
      <xdr:colOff>35858</xdr:colOff>
      <xdr:row>34</xdr:row>
      <xdr:rowOff>71717</xdr:rowOff>
    </xdr:to>
    <xdr:graphicFrame macro="">
      <xdr:nvGraphicFramePr>
        <xdr:cNvPr id="18" name="Chart 17">
          <a:extLst>
            <a:ext uri="{FF2B5EF4-FFF2-40B4-BE49-F238E27FC236}">
              <a16:creationId xmlns:a16="http://schemas.microsoft.com/office/drawing/2014/main" id="{FE56B8EF-74AB-4628-946A-F7DC283F2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251012</xdr:colOff>
      <xdr:row>22</xdr:row>
      <xdr:rowOff>71717</xdr:rowOff>
    </xdr:from>
    <xdr:to>
      <xdr:col>23</xdr:col>
      <xdr:colOff>286870</xdr:colOff>
      <xdr:row>34</xdr:row>
      <xdr:rowOff>80682</xdr:rowOff>
    </xdr:to>
    <xdr:graphicFrame macro="">
      <xdr:nvGraphicFramePr>
        <xdr:cNvPr id="21" name="Chart 20">
          <a:extLst>
            <a:ext uri="{FF2B5EF4-FFF2-40B4-BE49-F238E27FC236}">
              <a16:creationId xmlns:a16="http://schemas.microsoft.com/office/drawing/2014/main" id="{E928FF22-65EF-4BC0-8396-7C4161DD7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80683</xdr:colOff>
      <xdr:row>4</xdr:row>
      <xdr:rowOff>154642</xdr:rowOff>
    </xdr:from>
    <xdr:to>
      <xdr:col>3</xdr:col>
      <xdr:colOff>340659</xdr:colOff>
      <xdr:row>34</xdr:row>
      <xdr:rowOff>80682</xdr:rowOff>
    </xdr:to>
    <xdr:sp macro="" textlink="">
      <xdr:nvSpPr>
        <xdr:cNvPr id="22" name="Rectangle: Rounded Corners 21">
          <a:extLst>
            <a:ext uri="{FF2B5EF4-FFF2-40B4-BE49-F238E27FC236}">
              <a16:creationId xmlns:a16="http://schemas.microsoft.com/office/drawing/2014/main" id="{97F63398-0C51-4117-ACAA-1A250671484A}"/>
            </a:ext>
          </a:extLst>
        </xdr:cNvPr>
        <xdr:cNvSpPr/>
      </xdr:nvSpPr>
      <xdr:spPr>
        <a:xfrm>
          <a:off x="80683" y="871818"/>
          <a:ext cx="2088776" cy="5304864"/>
        </a:xfrm>
        <a:prstGeom prst="roundRect">
          <a:avLst/>
        </a:prstGeom>
        <a:solidFill>
          <a:schemeClr val="accent1"/>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546849</xdr:colOff>
      <xdr:row>0</xdr:row>
      <xdr:rowOff>26894</xdr:rowOff>
    </xdr:from>
    <xdr:to>
      <xdr:col>2</xdr:col>
      <xdr:colOff>170330</xdr:colOff>
      <xdr:row>4</xdr:row>
      <xdr:rowOff>53787</xdr:rowOff>
    </xdr:to>
    <xdr:pic>
      <xdr:nvPicPr>
        <xdr:cNvPr id="24" name="Picture 23">
          <a:extLst>
            <a:ext uri="{FF2B5EF4-FFF2-40B4-BE49-F238E27FC236}">
              <a16:creationId xmlns:a16="http://schemas.microsoft.com/office/drawing/2014/main" id="{E31A5AEA-D08A-4FBC-A5E9-EB75835C7E1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46849" y="26894"/>
          <a:ext cx="842681" cy="744069"/>
        </a:xfrm>
        <a:prstGeom prst="rect">
          <a:avLst/>
        </a:prstGeom>
      </xdr:spPr>
    </xdr:pic>
    <xdr:clientData/>
  </xdr:twoCellAnchor>
  <xdr:twoCellAnchor editAs="oneCell">
    <xdr:from>
      <xdr:col>0</xdr:col>
      <xdr:colOff>224118</xdr:colOff>
      <xdr:row>5</xdr:row>
      <xdr:rowOff>170329</xdr:rowOff>
    </xdr:from>
    <xdr:to>
      <xdr:col>3</xdr:col>
      <xdr:colOff>233083</xdr:colOff>
      <xdr:row>16</xdr:row>
      <xdr:rowOff>8964</xdr:rowOff>
    </xdr:to>
    <mc:AlternateContent xmlns:mc="http://schemas.openxmlformats.org/markup-compatibility/2006">
      <mc:Choice xmlns:a14="http://schemas.microsoft.com/office/drawing/2010/main" Requires="a14">
        <xdr:graphicFrame macro="">
          <xdr:nvGraphicFramePr>
            <xdr:cNvPr id="20" name="department_name">
              <a:extLst>
                <a:ext uri="{FF2B5EF4-FFF2-40B4-BE49-F238E27FC236}">
                  <a16:creationId xmlns:a16="http://schemas.microsoft.com/office/drawing/2014/main" id="{884A2FEE-C0E4-4FC9-9251-3CFEEC6DA723}"/>
                </a:ext>
              </a:extLst>
            </xdr:cNvPr>
            <xdr:cNvGraphicFramePr/>
          </xdr:nvGraphicFramePr>
          <xdr:xfrm>
            <a:off x="0" y="0"/>
            <a:ext cx="0" cy="0"/>
          </xdr:xfrm>
          <a:graphic>
            <a:graphicData uri="http://schemas.microsoft.com/office/drawing/2010/slicer">
              <sle:slicer xmlns:sle="http://schemas.microsoft.com/office/drawing/2010/slicer" name="department_name"/>
            </a:graphicData>
          </a:graphic>
        </xdr:graphicFrame>
      </mc:Choice>
      <mc:Fallback>
        <xdr:sp macro="" textlink="">
          <xdr:nvSpPr>
            <xdr:cNvPr id="0" name=""/>
            <xdr:cNvSpPr>
              <a:spLocks noTextEdit="1"/>
            </xdr:cNvSpPr>
          </xdr:nvSpPr>
          <xdr:spPr>
            <a:xfrm>
              <a:off x="224118" y="1066800"/>
              <a:ext cx="1837765" cy="1810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224117</xdr:colOff>
      <xdr:row>16</xdr:row>
      <xdr:rowOff>118783</xdr:rowOff>
    </xdr:from>
    <xdr:to>
      <xdr:col>3</xdr:col>
      <xdr:colOff>224117</xdr:colOff>
      <xdr:row>21</xdr:row>
      <xdr:rowOff>134471</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7FAE0B3A-3A81-4841-A204-A26AEF96507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24117" y="2987489"/>
              <a:ext cx="1828800" cy="912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206190</xdr:colOff>
      <xdr:row>22</xdr:row>
      <xdr:rowOff>145675</xdr:rowOff>
    </xdr:from>
    <xdr:to>
      <xdr:col>3</xdr:col>
      <xdr:colOff>206190</xdr:colOff>
      <xdr:row>27</xdr:row>
      <xdr:rowOff>95024</xdr:rowOff>
    </xdr:to>
    <mc:AlternateContent xmlns:mc="http://schemas.openxmlformats.org/markup-compatibility/2006" xmlns:a14="http://schemas.microsoft.com/office/drawing/2010/main">
      <mc:Choice Requires="a14">
        <xdr:graphicFrame macro="">
          <xdr:nvGraphicFramePr>
            <xdr:cNvPr id="27" name="Appointment Status">
              <a:extLst>
                <a:ext uri="{FF2B5EF4-FFF2-40B4-BE49-F238E27FC236}">
                  <a16:creationId xmlns:a16="http://schemas.microsoft.com/office/drawing/2014/main" id="{73132483-DDA1-4999-808C-5C0EA6F34AEC}"/>
                </a:ext>
              </a:extLst>
            </xdr:cNvPr>
            <xdr:cNvGraphicFramePr/>
          </xdr:nvGraphicFramePr>
          <xdr:xfrm>
            <a:off x="0" y="0"/>
            <a:ext cx="0" cy="0"/>
          </xdr:xfrm>
          <a:graphic>
            <a:graphicData uri="http://schemas.microsoft.com/office/drawing/2010/slicer">
              <sle:slicer xmlns:sle="http://schemas.microsoft.com/office/drawing/2010/slicer" name="Appointment Status"/>
            </a:graphicData>
          </a:graphic>
        </xdr:graphicFrame>
      </mc:Choice>
      <mc:Fallback xmlns="">
        <xdr:sp macro="" textlink="">
          <xdr:nvSpPr>
            <xdr:cNvPr id="0" name=""/>
            <xdr:cNvSpPr>
              <a:spLocks noTextEdit="1"/>
            </xdr:cNvSpPr>
          </xdr:nvSpPr>
          <xdr:spPr>
            <a:xfrm>
              <a:off x="206190" y="4090146"/>
              <a:ext cx="1828800" cy="845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206189</xdr:colOff>
      <xdr:row>28</xdr:row>
      <xdr:rowOff>47066</xdr:rowOff>
    </xdr:from>
    <xdr:to>
      <xdr:col>3</xdr:col>
      <xdr:colOff>206189</xdr:colOff>
      <xdr:row>33</xdr:row>
      <xdr:rowOff>57375</xdr:rowOff>
    </xdr:to>
    <mc:AlternateContent xmlns:mc="http://schemas.openxmlformats.org/markup-compatibility/2006" xmlns:a14="http://schemas.microsoft.com/office/drawing/2010/main">
      <mc:Choice Requires="a14">
        <xdr:graphicFrame macro="">
          <xdr:nvGraphicFramePr>
            <xdr:cNvPr id="29" name="admission_type">
              <a:extLst>
                <a:ext uri="{FF2B5EF4-FFF2-40B4-BE49-F238E27FC236}">
                  <a16:creationId xmlns:a16="http://schemas.microsoft.com/office/drawing/2014/main" id="{1D59DABE-09AE-4888-AA31-9182B0053F9D}"/>
                </a:ext>
              </a:extLst>
            </xdr:cNvPr>
            <xdr:cNvGraphicFramePr/>
          </xdr:nvGraphicFramePr>
          <xdr:xfrm>
            <a:off x="0" y="0"/>
            <a:ext cx="0" cy="0"/>
          </xdr:xfrm>
          <a:graphic>
            <a:graphicData uri="http://schemas.microsoft.com/office/drawing/2010/slicer">
              <sle:slicer xmlns:sle="http://schemas.microsoft.com/office/drawing/2010/slicer" name="admission_type"/>
            </a:graphicData>
          </a:graphic>
        </xdr:graphicFrame>
      </mc:Choice>
      <mc:Fallback xmlns="">
        <xdr:sp macro="" textlink="">
          <xdr:nvSpPr>
            <xdr:cNvPr id="0" name=""/>
            <xdr:cNvSpPr>
              <a:spLocks noTextEdit="1"/>
            </xdr:cNvSpPr>
          </xdr:nvSpPr>
          <xdr:spPr>
            <a:xfrm>
              <a:off x="206189" y="5067301"/>
              <a:ext cx="18288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83.493119675928" createdVersion="6" refreshedVersion="6" minRefreshableVersion="3" recordCount="10" xr:uid="{7A2C7815-4408-4112-A704-7309F8A7CE5C}">
  <cacheSource type="worksheet">
    <worksheetSource name="hca_admissions[admission_id]"/>
  </cacheSource>
  <cacheFields count="1">
    <cacheField name="admission_id"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83.493120023151" createdVersion="6" refreshedVersion="6" minRefreshableVersion="3" recordCount="20" xr:uid="{C4681A2F-B83D-444A-83E7-8E3EEE6AB79F}">
  <cacheSource type="worksheet">
    <worksheetSource name="hca_appointments[appointment_id]"/>
  </cacheSource>
  <cacheFields count="1">
    <cacheField name="appointment_id" numFmtId="0">
      <sharedItems containsSemiMixedTypes="0" containsString="0" containsNumber="1" containsInteger="1" minValue="1" maxValue="2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83.493120370367" createdVersion="6" refreshedVersion="6" minRefreshableVersion="3" recordCount="10" xr:uid="{23FB3373-0FFF-477A-890C-8236994409A5}">
  <cacheSource type="worksheet">
    <worksheetSource name="hca_departments[department_id]"/>
  </cacheSource>
  <cacheFields count="1">
    <cacheField name="department_id"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83.493121180552" createdVersion="6" refreshedVersion="6" minRefreshableVersion="3" recordCount="10" xr:uid="{9F7EA387-93FC-4F46-9CB6-6FA0CA39A0A7}">
  <cacheSource type="worksheet">
    <worksheetSource name="hca_doctors[doctor_id]"/>
  </cacheSource>
  <cacheFields count="1">
    <cacheField name="doctor_id"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83.493121527776" createdVersion="6" refreshedVersion="6" minRefreshableVersion="3" recordCount="50" xr:uid="{FE43AEFE-6FF3-4925-A203-78C681E10CEF}">
  <cacheSource type="worksheet">
    <worksheetSource name="hca_patients[patient_id]"/>
  </cacheSource>
  <cacheFields count="1">
    <cacheField name="patient_id" numFmtId="0">
      <sharedItems containsSemiMixedTypes="0" containsString="0" containsNumber="1" containsInteger="1" minValue="1" maxValue="5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86.755721412039" createdVersion="6" refreshedVersion="6" minRefreshableVersion="3" recordCount="10" xr:uid="{0D62F1A3-7BA2-4DEC-B1B5-7FF01D7FD51E}">
  <cacheSource type="worksheet">
    <worksheetSource name="hca_bills[total_amount]"/>
  </cacheSource>
  <cacheFields count="1">
    <cacheField name="total_amount" numFmtId="0">
      <sharedItems containsSemiMixedTypes="0" containsString="0" containsNumber="1" containsInteger="1" minValue="9700" maxValue="1650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86.757222222222" createdVersion="6" refreshedVersion="6" minRefreshableVersion="3" recordCount="11" xr:uid="{BF6EB659-177B-4CA6-A9E9-6290CE7895EC}">
  <cacheSource type="worksheet">
    <worksheetSource ref="J1:J1048576" sheet="bills"/>
  </cacheSource>
  <cacheFields count="1">
    <cacheField name="total_amount" numFmtId="0">
      <sharedItems containsString="0" containsBlank="1" containsNumber="1" containsInteger="1" minValue="9700" maxValue="16500" count="10">
        <n v="12400"/>
        <n v="14400"/>
        <n v="16500"/>
        <n v="9700"/>
        <n v="12800"/>
        <n v="13000"/>
        <n v="10200"/>
        <n v="12100"/>
        <n v="14500"/>
        <m/>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86.765393171299" createdVersion="6" refreshedVersion="6" minRefreshableVersion="3" recordCount="50" xr:uid="{B169AB08-ED02-4B1B-A43E-71FCB47065F4}">
  <cacheSource type="worksheet">
    <worksheetSource name="hca_patients"/>
  </cacheSource>
  <cacheFields count="8">
    <cacheField name="patient_id" numFmtId="0">
      <sharedItems containsSemiMixedTypes="0" containsString="0" containsNumber="1" containsInteger="1" minValue="1" maxValue="50"/>
    </cacheField>
    <cacheField name="patient_name" numFmtId="0">
      <sharedItems/>
    </cacheField>
    <cacheField name="gender" numFmtId="0">
      <sharedItems count="2">
        <s v="Male"/>
        <s v="Female"/>
      </sharedItems>
    </cacheField>
    <cacheField name="age" numFmtId="0">
      <sharedItems containsSemiMixedTypes="0" containsString="0" containsNumber="1" containsInteger="1" minValue="22" maxValue="67"/>
    </cacheField>
    <cacheField name="city" numFmtId="0">
      <sharedItems/>
    </cacheField>
    <cacheField name="blood_group" numFmtId="0">
      <sharedItems/>
    </cacheField>
    <cacheField name="registration_date" numFmtId="22">
      <sharedItems containsSemiMixedTypes="0" containsNonDate="0" containsDate="1" containsString="0" minDate="2026-01-05T00:00:00" maxDate="2026-04-21T00:00:00"/>
    </cacheField>
    <cacheField name="insurance_id" numFmtId="0">
      <sharedItems containsSemiMixedTypes="0" containsString="0" containsNumber="1" containsInteger="1" minValue="1" maxValue="10"/>
    </cacheField>
  </cacheFields>
  <extLst>
    <ext xmlns:x14="http://schemas.microsoft.com/office/spreadsheetml/2009/9/main" uri="{725AE2AE-9491-48be-B2B4-4EB974FC3084}">
      <x14:pivotCacheDefinition pivotCacheId="35827827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86.769760416668" createdVersion="6" refreshedVersion="6" minRefreshableVersion="3" recordCount="20" xr:uid="{E66EFADD-B89D-4104-B23A-2D5E32BC551E}">
  <cacheSource type="worksheet">
    <worksheetSource name="hca_appointments"/>
  </cacheSource>
  <cacheFields count="7">
    <cacheField name="appointment_id" numFmtId="0">
      <sharedItems containsSemiMixedTypes="0" containsString="0" containsNumber="1" containsInteger="1" minValue="1" maxValue="20"/>
    </cacheField>
    <cacheField name="patient_id" numFmtId="0">
      <sharedItems containsSemiMixedTypes="0" containsString="0" containsNumber="1" containsInteger="1" minValue="1" maxValue="20"/>
    </cacheField>
    <cacheField name="doctor_id" numFmtId="0">
      <sharedItems containsSemiMixedTypes="0" containsString="0" containsNumber="1" containsInteger="1" minValue="1" maxValue="10"/>
    </cacheField>
    <cacheField name="department_id" numFmtId="0">
      <sharedItems containsSemiMixedTypes="0" containsString="0" containsNumber="1" containsInteger="1" minValue="1" maxValue="10"/>
    </cacheField>
    <cacheField name="appointment_date" numFmtId="22">
      <sharedItems containsSemiMixedTypes="0" containsNonDate="0" containsDate="1" containsString="0" minDate="2026-01-10T00:00:00" maxDate="2026-02-14T00:00:00"/>
    </cacheField>
    <cacheField name="appointment_type" numFmtId="0">
      <sharedItems/>
    </cacheField>
    <cacheField name="appointment_status" numFmtId="0">
      <sharedItems count="2">
        <s v="Completed"/>
        <s v="Cancelled"/>
      </sharedItems>
    </cacheField>
  </cacheFields>
  <extLst>
    <ext xmlns:x14="http://schemas.microsoft.com/office/spreadsheetml/2009/9/main" uri="{725AE2AE-9491-48be-B2B4-4EB974FC3084}">
      <x14:pivotCacheDefinition pivotCacheId="60813863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86.788199652779" createdVersion="6" refreshedVersion="6" minRefreshableVersion="3" recordCount="10" xr:uid="{B7C9D923-BA9A-4C28-B603-C6DECD2DE6DB}">
  <cacheSource type="worksheet">
    <worksheetSource name="hca_admissions"/>
  </cacheSource>
  <cacheFields count="10">
    <cacheField name="admission_id" numFmtId="0">
      <sharedItems containsSemiMixedTypes="0" containsString="0" containsNumber="1" containsInteger="1" minValue="1" maxValue="10"/>
    </cacheField>
    <cacheField name="patient_id" numFmtId="0">
      <sharedItems containsSemiMixedTypes="0" containsString="0" containsNumber="1" containsInteger="1" minValue="1" maxValue="21"/>
    </cacheField>
    <cacheField name="doctor_id" numFmtId="0">
      <sharedItems containsSemiMixedTypes="0" containsString="0" containsNumber="1" containsInteger="1" minValue="1" maxValue="9"/>
    </cacheField>
    <cacheField name="department_id" numFmtId="0">
      <sharedItems containsSemiMixedTypes="0" containsString="0" containsNumber="1" containsInteger="1" minValue="1" maxValue="9"/>
    </cacheField>
    <cacheField name="admission_date" numFmtId="22">
      <sharedItems containsSemiMixedTypes="0" containsNonDate="0" containsDate="1" containsString="0" minDate="2026-01-10T00:00:00" maxDate="2026-02-21T00:00:00"/>
    </cacheField>
    <cacheField name="discharge_date" numFmtId="22">
      <sharedItems containsSemiMixedTypes="0" containsNonDate="0" containsDate="1" containsString="0" minDate="2026-01-14T00:00:00" maxDate="2026-02-26T00:00:00"/>
    </cacheField>
    <cacheField name="room_type" numFmtId="0">
      <sharedItems/>
    </cacheField>
    <cacheField name="bed_number" numFmtId="0">
      <sharedItems/>
    </cacheField>
    <cacheField name="admission_type" numFmtId="0">
      <sharedItems/>
    </cacheField>
    <cacheField name="admission_status" numFmtId="0">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7.491973263888" backgroundQuery="1" createdVersion="6" refreshedVersion="6" minRefreshableVersion="3" recordCount="0" supportSubquery="1" supportAdvancedDrill="1" xr:uid="{B111F84D-8258-4238-BA5C-BA2415835A81}">
  <cacheSource type="external" connectionId="13"/>
  <cacheFields count="2">
    <cacheField name="[hca_departments].[department_name].[department_name]" caption="department_name" numFmtId="0" hierarchy="22" level="1">
      <sharedItems count="6">
        <s v="Cardiology"/>
        <s v="Gastroenterology"/>
        <s v="General Medicine"/>
        <s v="Gynecology"/>
        <s v="Neurology"/>
        <s v="Orthopedics"/>
      </sharedItems>
    </cacheField>
    <cacheField name="[Measures].[Sum of total_amount]" caption="Sum of total_amount" numFmtId="0" hierarchy="37" level="32767"/>
  </cacheFields>
  <cacheHierarchies count="41">
    <cacheHierarchy uniqueName="[hca_admissions].[admission_id]" caption="admission_id" attribute="1" defaultMemberUniqueName="[hca_admissions].[admission_id].[All]" allUniqueName="[hca_admissions].[admission_id].[All]" dimensionUniqueName="[hca_admissions]" displayFolder="" count="2" memberValueDatatype="20" unbalanced="0"/>
    <cacheHierarchy uniqueName="[hca_admissions].[patient_id]" caption="patient_id" attribute="1" defaultMemberUniqueName="[hca_admissions].[patient_id].[All]" allUniqueName="[hca_admissions].[patient_id].[All]" dimensionUniqueName="[hca_admissions]" displayFolder="" count="2" memberValueDatatype="20" unbalanced="0"/>
    <cacheHierarchy uniqueName="[hca_admissions].[doctor_id]" caption="doctor_id" attribute="1" defaultMemberUniqueName="[hca_admissions].[doctor_id].[All]" allUniqueName="[hca_admissions].[doctor_id].[All]" dimensionUniqueName="[hca_admissions]" displayFolder="" count="2" memberValueDatatype="20" unbalanced="0"/>
    <cacheHierarchy uniqueName="[hca_admissions].[department_id]" caption="department_id" attribute="1" defaultMemberUniqueName="[hca_admissions].[department_id].[All]" allUniqueName="[hca_admissions].[department_id].[All]" dimensionUniqueName="[hca_admissions]" displayFolder="" count="2" memberValueDatatype="20" unbalanced="0"/>
    <cacheHierarchy uniqueName="[hca_admissions].[admission_date]" caption="admission_date" attribute="1" time="1" defaultMemberUniqueName="[hca_admissions].[admission_date].[All]" allUniqueName="[hca_admissions].[admission_date].[All]" dimensionUniqueName="[hca_admissions]" displayFolder="" count="2" memberValueDatatype="7" unbalanced="0"/>
    <cacheHierarchy uniqueName="[hca_admissions].[discharge_date]" caption="discharge_date" attribute="1" time="1" defaultMemberUniqueName="[hca_admissions].[discharge_date].[All]" allUniqueName="[hca_admissions].[discharge_date].[All]" dimensionUniqueName="[hca_admissions]" displayFolder="" count="2" memberValueDatatype="7" unbalanced="0"/>
    <cacheHierarchy uniqueName="[hca_admissions].[room_type]" caption="room_type" attribute="1" defaultMemberUniqueName="[hca_admissions].[room_type].[All]" allUniqueName="[hca_admissions].[room_type].[All]" dimensionUniqueName="[hca_admissions]" displayFolder="" count="2" memberValueDatatype="130" unbalanced="0"/>
    <cacheHierarchy uniqueName="[hca_admissions].[bed_number]" caption="bed_number" attribute="1" defaultMemberUniqueName="[hca_admissions].[bed_number].[All]" allUniqueName="[hca_admissions].[bed_number].[All]" dimensionUniqueName="[hca_admissions]" displayFolder="" count="2" memberValueDatatype="130" unbalanced="0"/>
    <cacheHierarchy uniqueName="[hca_admissions].[admission_type]" caption="admission_type" attribute="1" defaultMemberUniqueName="[hca_admissions].[admission_type].[All]" allUniqueName="[hca_admissions].[admission_type].[All]" dimensionUniqueName="[hca_admissions]" displayFolder="" count="2" memberValueDatatype="130" unbalanced="0"/>
    <cacheHierarchy uniqueName="[hca_admissions].[admission_status]" caption="admission_status" attribute="1" defaultMemberUniqueName="[hca_admissions].[admission_status].[All]" allUniqueName="[hca_admissions].[admission_status].[All]" dimensionUniqueName="[hca_admissions]" displayFolder="" count="2" memberValueDatatype="130" unbalanced="0"/>
    <cacheHierarchy uniqueName="[hca_bills].[bill_id]" caption="bill_id" attribute="1" defaultMemberUniqueName="[hca_bills].[bill_id].[All]" allUniqueName="[hca_bills].[bill_id].[All]" dimensionUniqueName="[hca_bills]" displayFolder="" count="2" memberValueDatatype="20" unbalanced="0"/>
    <cacheHierarchy uniqueName="[hca_bills].[patient_id]" caption="patient_id" attribute="1" defaultMemberUniqueName="[hca_bills].[patient_id].[All]" allUniqueName="[hca_bills].[patient_id].[All]" dimensionUniqueName="[hca_bills]" displayFolder="" count="2" memberValueDatatype="20" unbalanced="0"/>
    <cacheHierarchy uniqueName="[hca_bills].[admission_id]" caption="admission_id" attribute="1" defaultMemberUniqueName="[hca_bills].[admission_id].[All]" allUniqueName="[hca_bills].[admission_id].[All]" dimensionUniqueName="[hca_bills]" displayFolder="" count="2" memberValueDatatype="20" unbalanced="0"/>
    <cacheHierarchy uniqueName="[hca_bills].[bill_date]" caption="bill_date" attribute="1" time="1" defaultMemberUniqueName="[hca_bills].[bill_date].[All]" allUniqueName="[hca_bills].[bill_date].[All]" dimensionUniqueName="[hca_bills]" displayFolder="" count="2" memberValueDatatype="7" unbalanced="0"/>
    <cacheHierarchy uniqueName="[hca_bills].[consultation_charges]" caption="consultation_charges" attribute="1" defaultMemberUniqueName="[hca_bills].[consultation_charges].[All]" allUniqueName="[hca_bills].[consultation_charges].[All]" dimensionUniqueName="[hca_bills]" displayFolder="" count="2" memberValueDatatype="20" unbalanced="0"/>
    <cacheHierarchy uniqueName="[hca_bills].[medicine_charges]" caption="medicine_charges" attribute="1" defaultMemberUniqueName="[hca_bills].[medicine_charges].[All]" allUniqueName="[hca_bills].[medicine_charges].[All]" dimensionUniqueName="[hca_bills]" displayFolder="" count="2" memberValueDatatype="20" unbalanced="0"/>
    <cacheHierarchy uniqueName="[hca_bills].[lab_charges]" caption="lab_charges" attribute="1" defaultMemberUniqueName="[hca_bills].[lab_charges].[All]" allUniqueName="[hca_bills].[lab_charges].[All]" dimensionUniqueName="[hca_bills]" displayFolder="" count="2" memberValueDatatype="20" unbalanced="0"/>
    <cacheHierarchy uniqueName="[hca_bills].[room_charges]" caption="room_charges" attribute="1" defaultMemberUniqueName="[hca_bills].[room_charges].[All]" allUniqueName="[hca_bills].[room_charges].[All]" dimensionUniqueName="[hca_bills]" displayFolder="" count="2" memberValueDatatype="20" unbalanced="0"/>
    <cacheHierarchy uniqueName="[hca_bills].[treatment_charges]" caption="treatment_charges" attribute="1" defaultMemberUniqueName="[hca_bills].[treatment_charges].[All]" allUniqueName="[hca_bills].[treatment_charges].[All]" dimensionUniqueName="[hca_bills]" displayFolder="" count="2" memberValueDatatype="20" unbalanced="0"/>
    <cacheHierarchy uniqueName="[hca_bills].[total_amount]" caption="total_amount" attribute="1" defaultMemberUniqueName="[hca_bills].[total_amount].[All]" allUniqueName="[hca_bills].[total_amount].[All]" dimensionUniqueName="[hca_bills]" displayFolder="" count="2" memberValueDatatype="20" unbalanced="0"/>
    <cacheHierarchy uniqueName="[hca_bills].[bill_status]" caption="bill_status" attribute="1" defaultMemberUniqueName="[hca_bills].[bill_status].[All]" allUniqueName="[hca_bills].[bill_status].[All]" dimensionUniqueName="[hca_bills]" displayFolder="" count="2" memberValueDatatype="130" unbalanced="0"/>
    <cacheHierarchy uniqueName="[hca_departments].[department_id]" caption="department_id" attribute="1" defaultMemberUniqueName="[hca_departments].[department_id].[All]" allUniqueName="[hca_departments].[department_id].[All]" dimensionUniqueName="[hca_departments]" displayFolder="" count="2" memberValueDatatype="20" unbalanced="0"/>
    <cacheHierarchy uniqueName="[hca_departments].[department_name]" caption="department_name" attribute="1" defaultMemberUniqueName="[hca_departments].[department_name].[All]" allUniqueName="[hca_departments].[department_name].[All]" dimensionUniqueName="[hca_departments]" displayFolder="" count="2" memberValueDatatype="130" unbalanced="0">
      <fieldsUsage count="2">
        <fieldUsage x="-1"/>
        <fieldUsage x="0"/>
      </fieldsUsage>
    </cacheHierarchy>
    <cacheHierarchy uniqueName="[hca_departments].[floor_no]" caption="floor_no" attribute="1" defaultMemberUniqueName="[hca_departments].[floor_no].[All]" allUniqueName="[hca_departments].[floor_no].[All]" dimensionUniqueName="[hca_departments]" displayFolder="" count="2" memberValueDatatype="20" unbalanced="0"/>
    <cacheHierarchy uniqueName="[hca_departments].[department_type]" caption="department_type" attribute="1" defaultMemberUniqueName="[hca_departments].[department_type].[All]" allUniqueName="[hca_departments].[department_type].[All]" dimensionUniqueName="[hca_departments]" displayFolder="" count="2" memberValueDatatype="130" unbalanced="0"/>
    <cacheHierarchy uniqueName="[hca_payments].[payment_id]" caption="payment_id" attribute="1" defaultMemberUniqueName="[hca_payments].[payment_id].[All]" allUniqueName="[hca_payments].[payment_id].[All]" dimensionUniqueName="[hca_payments]" displayFolder="" count="2" memberValueDatatype="20" unbalanced="0"/>
    <cacheHierarchy uniqueName="[hca_payments].[bill_id]" caption="bill_id" attribute="1" defaultMemberUniqueName="[hca_payments].[bill_id].[All]" allUniqueName="[hca_payments].[bill_id].[All]" dimensionUniqueName="[hca_payments]" displayFolder="" count="2" memberValueDatatype="20" unbalanced="0"/>
    <cacheHierarchy uniqueName="[hca_payments].[patient_id]" caption="patient_id" attribute="1" defaultMemberUniqueName="[hca_payments].[patient_id].[All]" allUniqueName="[hca_payments].[patient_id].[All]" dimensionUniqueName="[hca_payments]" displayFolder="" count="2" memberValueDatatype="20" unbalanced="0"/>
    <cacheHierarchy uniqueName="[hca_payments].[payment_date]" caption="payment_date" attribute="1" time="1" defaultMemberUniqueName="[hca_payments].[payment_date].[All]" allUniqueName="[hca_payments].[payment_date].[All]" dimensionUniqueName="[hca_payments]" displayFolder="" count="2" memberValueDatatype="7" unbalanced="0"/>
    <cacheHierarchy uniqueName="[hca_payments].[payment_amount]" caption="payment_amount" attribute="1" defaultMemberUniqueName="[hca_payments].[payment_amount].[All]" allUniqueName="[hca_payments].[payment_amount].[All]" dimensionUniqueName="[hca_payments]" displayFolder="" count="2" memberValueDatatype="20" unbalanced="0"/>
    <cacheHierarchy uniqueName="[hca_payments].[payment_method]" caption="payment_method" attribute="1" defaultMemberUniqueName="[hca_payments].[payment_method].[All]" allUniqueName="[hca_payments].[payment_method].[All]" dimensionUniqueName="[hca_payments]" displayFolder="" count="2" memberValueDatatype="130" unbalanced="0"/>
    <cacheHierarchy uniqueName="[hca_payments].[payment_status]" caption="payment_status" attribute="1" defaultMemberUniqueName="[hca_payments].[payment_status].[All]" allUniqueName="[hca_payments].[payment_status].[All]" dimensionUniqueName="[hca_payments]" displayFolder="" count="2" memberValueDatatype="130" unbalanced="0"/>
    <cacheHierarchy uniqueName="[Measures].[__XL_Count hca_bills]" caption="__XL_Count hca_bills" measure="1" displayFolder="" measureGroup="hca_bills" count="0" hidden="1"/>
    <cacheHierarchy uniqueName="[Measures].[__XL_Count hca_payments]" caption="__XL_Count hca_payments" measure="1" displayFolder="" measureGroup="hca_payments" count="0" hidden="1"/>
    <cacheHierarchy uniqueName="[Measures].[__XL_Count hca_admissions]" caption="__XL_Count hca_admissions" measure="1" displayFolder="" measureGroup="hca_admissions" count="0" hidden="1"/>
    <cacheHierarchy uniqueName="[Measures].[__XL_Count hca_departments]" caption="__XL_Count hca_departments" measure="1" displayFolder="" measureGroup="hca_departments" count="0" hidden="1"/>
    <cacheHierarchy uniqueName="[Measures].[__No measures defined]" caption="__No measures defined" measure="1" displayFolder="" count="0" hidden="1"/>
    <cacheHierarchy uniqueName="[Measures].[Sum of total_amount]" caption="Sum of total_amount" measure="1" displayFolder="" measureGroup="hca_bill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ayment_amount]" caption="Sum of payment_amount" measure="1" displayFolder="" measureGroup="hca_payments" count="0" hidden="1">
      <extLst>
        <ext xmlns:x15="http://schemas.microsoft.com/office/spreadsheetml/2010/11/main" uri="{B97F6D7D-B522-45F9-BDA1-12C45D357490}">
          <x15:cacheHierarchy aggregatedColumn="29"/>
        </ext>
      </extLst>
    </cacheHierarchy>
    <cacheHierarchy uniqueName="[Measures].[Sum of admission_id]" caption="Sum of admission_id" measure="1" displayFolder="" measureGroup="hca_admissions" count="0" hidden="1">
      <extLst>
        <ext xmlns:x15="http://schemas.microsoft.com/office/spreadsheetml/2010/11/main" uri="{B97F6D7D-B522-45F9-BDA1-12C45D357490}">
          <x15:cacheHierarchy aggregatedColumn="0"/>
        </ext>
      </extLst>
    </cacheHierarchy>
    <cacheHierarchy uniqueName="[Measures].[Count of admission_id]" caption="Count of admission_id" measure="1" displayFolder="" measureGroup="hca_admissions" count="0" hidden="1">
      <extLst>
        <ext xmlns:x15="http://schemas.microsoft.com/office/spreadsheetml/2010/11/main" uri="{B97F6D7D-B522-45F9-BDA1-12C45D357490}">
          <x15:cacheHierarchy aggregatedColumn="0"/>
        </ext>
      </extLst>
    </cacheHierarchy>
  </cacheHierarchies>
  <kpis count="0"/>
  <dimensions count="5">
    <dimension name="hca_admissions" uniqueName="[hca_admissions]" caption="hca_admissions"/>
    <dimension name="hca_bills" uniqueName="[hca_bills]" caption="hca_bills"/>
    <dimension name="hca_departments" uniqueName="[hca_departments]" caption="hca_departments"/>
    <dimension name="hca_payments" uniqueName="[hca_payments]" caption="hca_payments"/>
    <dimension measure="1" name="Measures" uniqueName="[Measures]" caption="Measures"/>
  </dimensions>
  <measureGroups count="4">
    <measureGroup name="hca_admissions" caption="hca_admissions"/>
    <measureGroup name="hca_bills" caption="hca_bills"/>
    <measureGroup name="hca_departments" caption="hca_departments"/>
    <measureGroup name="hca_payments" caption="hca_payments"/>
  </measureGroups>
  <maps count="7">
    <map measureGroup="0" dimension="0"/>
    <map measureGroup="0" dimension="2"/>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7.49197372685" backgroundQuery="1" createdVersion="6" refreshedVersion="6" minRefreshableVersion="3" recordCount="0" supportSubquery="1" supportAdvancedDrill="1" xr:uid="{A05D76D2-3AD1-4080-9A9E-68BDB4F87EF8}">
  <cacheSource type="external" connectionId="13"/>
  <cacheFields count="2">
    <cacheField name="[hca_departments].[department_name].[department_name]" caption="department_name" numFmtId="0" hierarchy="22" level="1">
      <sharedItems count="6">
        <s v="Cardiology"/>
        <s v="Gastroenterology"/>
        <s v="General Medicine"/>
        <s v="Gynecology"/>
        <s v="Neurology"/>
        <s v="Orthopedics"/>
      </sharedItems>
    </cacheField>
    <cacheField name="[Measures].[Count of admission_id]" caption="Count of admission_id" numFmtId="0" hierarchy="40" level="32767"/>
  </cacheFields>
  <cacheHierarchies count="41">
    <cacheHierarchy uniqueName="[hca_admissions].[admission_id]" caption="admission_id" attribute="1" defaultMemberUniqueName="[hca_admissions].[admission_id].[All]" allUniqueName="[hca_admissions].[admission_id].[All]" dimensionUniqueName="[hca_admissions]" displayFolder="" count="0" memberValueDatatype="20" unbalanced="0"/>
    <cacheHierarchy uniqueName="[hca_admissions].[patient_id]" caption="patient_id" attribute="1" defaultMemberUniqueName="[hca_admissions].[patient_id].[All]" allUniqueName="[hca_admissions].[patient_id].[All]" dimensionUniqueName="[hca_admissions]" displayFolder="" count="0" memberValueDatatype="20" unbalanced="0"/>
    <cacheHierarchy uniqueName="[hca_admissions].[doctor_id]" caption="doctor_id" attribute="1" defaultMemberUniqueName="[hca_admissions].[doctor_id].[All]" allUniqueName="[hca_admissions].[doctor_id].[All]" dimensionUniqueName="[hca_admissions]" displayFolder="" count="0" memberValueDatatype="20" unbalanced="0"/>
    <cacheHierarchy uniqueName="[hca_admissions].[department_id]" caption="department_id" attribute="1" defaultMemberUniqueName="[hca_admissions].[department_id].[All]" allUniqueName="[hca_admissions].[department_id].[All]" dimensionUniqueName="[hca_admissions]" displayFolder="" count="0" memberValueDatatype="20" unbalanced="0"/>
    <cacheHierarchy uniqueName="[hca_admissions].[admission_date]" caption="admission_date" attribute="1" time="1" defaultMemberUniqueName="[hca_admissions].[admission_date].[All]" allUniqueName="[hca_admissions].[admission_date].[All]" dimensionUniqueName="[hca_admissions]" displayFolder="" count="0" memberValueDatatype="7" unbalanced="0"/>
    <cacheHierarchy uniqueName="[hca_admissions].[discharge_date]" caption="discharge_date" attribute="1" time="1" defaultMemberUniqueName="[hca_admissions].[discharge_date].[All]" allUniqueName="[hca_admissions].[discharge_date].[All]" dimensionUniqueName="[hca_admissions]" displayFolder="" count="0" memberValueDatatype="7" unbalanced="0"/>
    <cacheHierarchy uniqueName="[hca_admissions].[room_type]" caption="room_type" attribute="1" defaultMemberUniqueName="[hca_admissions].[room_type].[All]" allUniqueName="[hca_admissions].[room_type].[All]" dimensionUniqueName="[hca_admissions]" displayFolder="" count="0" memberValueDatatype="130" unbalanced="0"/>
    <cacheHierarchy uniqueName="[hca_admissions].[bed_number]" caption="bed_number" attribute="1" defaultMemberUniqueName="[hca_admissions].[bed_number].[All]" allUniqueName="[hca_admissions].[bed_number].[All]" dimensionUniqueName="[hca_admissions]" displayFolder="" count="0" memberValueDatatype="130" unbalanced="0"/>
    <cacheHierarchy uniqueName="[hca_admissions].[admission_type]" caption="admission_type" attribute="1" defaultMemberUniqueName="[hca_admissions].[admission_type].[All]" allUniqueName="[hca_admissions].[admission_type].[All]" dimensionUniqueName="[hca_admissions]" displayFolder="" count="2" memberValueDatatype="130" unbalanced="0"/>
    <cacheHierarchy uniqueName="[hca_admissions].[admission_status]" caption="admission_status" attribute="1" defaultMemberUniqueName="[hca_admissions].[admission_status].[All]" allUniqueName="[hca_admissions].[admission_status].[All]" dimensionUniqueName="[hca_admissions]" displayFolder="" count="0" memberValueDatatype="130" unbalanced="0"/>
    <cacheHierarchy uniqueName="[hca_bills].[bill_id]" caption="bill_id" attribute="1" defaultMemberUniqueName="[hca_bills].[bill_id].[All]" allUniqueName="[hca_bills].[bill_id].[All]" dimensionUniqueName="[hca_bills]" displayFolder="" count="0" memberValueDatatype="20" unbalanced="0"/>
    <cacheHierarchy uniqueName="[hca_bills].[patient_id]" caption="patient_id" attribute="1" defaultMemberUniqueName="[hca_bills].[patient_id].[All]" allUniqueName="[hca_bills].[patient_id].[All]" dimensionUniqueName="[hca_bills]" displayFolder="" count="0" memberValueDatatype="20" unbalanced="0"/>
    <cacheHierarchy uniqueName="[hca_bills].[admission_id]" caption="admission_id" attribute="1" defaultMemberUniqueName="[hca_bills].[admission_id].[All]" allUniqueName="[hca_bills].[admission_id].[All]" dimensionUniqueName="[hca_bills]" displayFolder="" count="0" memberValueDatatype="20" unbalanced="0"/>
    <cacheHierarchy uniqueName="[hca_bills].[bill_date]" caption="bill_date" attribute="1" time="1" defaultMemberUniqueName="[hca_bills].[bill_date].[All]" allUniqueName="[hca_bills].[bill_date].[All]" dimensionUniqueName="[hca_bills]" displayFolder="" count="0" memberValueDatatype="7" unbalanced="0"/>
    <cacheHierarchy uniqueName="[hca_bills].[consultation_charges]" caption="consultation_charges" attribute="1" defaultMemberUniqueName="[hca_bills].[consultation_charges].[All]" allUniqueName="[hca_bills].[consultation_charges].[All]" dimensionUniqueName="[hca_bills]" displayFolder="" count="0" memberValueDatatype="20" unbalanced="0"/>
    <cacheHierarchy uniqueName="[hca_bills].[medicine_charges]" caption="medicine_charges" attribute="1" defaultMemberUniqueName="[hca_bills].[medicine_charges].[All]" allUniqueName="[hca_bills].[medicine_charges].[All]" dimensionUniqueName="[hca_bills]" displayFolder="" count="0" memberValueDatatype="20" unbalanced="0"/>
    <cacheHierarchy uniqueName="[hca_bills].[lab_charges]" caption="lab_charges" attribute="1" defaultMemberUniqueName="[hca_bills].[lab_charges].[All]" allUniqueName="[hca_bills].[lab_charges].[All]" dimensionUniqueName="[hca_bills]" displayFolder="" count="0" memberValueDatatype="20" unbalanced="0"/>
    <cacheHierarchy uniqueName="[hca_bills].[room_charges]" caption="room_charges" attribute="1" defaultMemberUniqueName="[hca_bills].[room_charges].[All]" allUniqueName="[hca_bills].[room_charges].[All]" dimensionUniqueName="[hca_bills]" displayFolder="" count="0" memberValueDatatype="20" unbalanced="0"/>
    <cacheHierarchy uniqueName="[hca_bills].[treatment_charges]" caption="treatment_charges" attribute="1" defaultMemberUniqueName="[hca_bills].[treatment_charges].[All]" allUniqueName="[hca_bills].[treatment_charges].[All]" dimensionUniqueName="[hca_bills]" displayFolder="" count="0" memberValueDatatype="20" unbalanced="0"/>
    <cacheHierarchy uniqueName="[hca_bills].[total_amount]" caption="total_amount" attribute="1" defaultMemberUniqueName="[hca_bills].[total_amount].[All]" allUniqueName="[hca_bills].[total_amount].[All]" dimensionUniqueName="[hca_bills]" displayFolder="" count="0" memberValueDatatype="20" unbalanced="0"/>
    <cacheHierarchy uniqueName="[hca_bills].[bill_status]" caption="bill_status" attribute="1" defaultMemberUniqueName="[hca_bills].[bill_status].[All]" allUniqueName="[hca_bills].[bill_status].[All]" dimensionUniqueName="[hca_bills]" displayFolder="" count="0" memberValueDatatype="130" unbalanced="0"/>
    <cacheHierarchy uniqueName="[hca_departments].[department_id]" caption="department_id" attribute="1" defaultMemberUniqueName="[hca_departments].[department_id].[All]" allUniqueName="[hca_departments].[department_id].[All]" dimensionUniqueName="[hca_departments]" displayFolder="" count="0" memberValueDatatype="20" unbalanced="0"/>
    <cacheHierarchy uniqueName="[hca_departments].[department_name]" caption="department_name" attribute="1" defaultMemberUniqueName="[hca_departments].[department_name].[All]" allUniqueName="[hca_departments].[department_name].[All]" dimensionUniqueName="[hca_departments]" displayFolder="" count="2" memberValueDatatype="130" unbalanced="0">
      <fieldsUsage count="2">
        <fieldUsage x="-1"/>
        <fieldUsage x="0"/>
      </fieldsUsage>
    </cacheHierarchy>
    <cacheHierarchy uniqueName="[hca_departments].[floor_no]" caption="floor_no" attribute="1" defaultMemberUniqueName="[hca_departments].[floor_no].[All]" allUniqueName="[hca_departments].[floor_no].[All]" dimensionUniqueName="[hca_departments]" displayFolder="" count="0" memberValueDatatype="20" unbalanced="0"/>
    <cacheHierarchy uniqueName="[hca_departments].[department_type]" caption="department_type" attribute="1" defaultMemberUniqueName="[hca_departments].[department_type].[All]" allUniqueName="[hca_departments].[department_type].[All]" dimensionUniqueName="[hca_departments]" displayFolder="" count="0" memberValueDatatype="130" unbalanced="0"/>
    <cacheHierarchy uniqueName="[hca_payments].[payment_id]" caption="payment_id" attribute="1" defaultMemberUniqueName="[hca_payments].[payment_id].[All]" allUniqueName="[hca_payments].[payment_id].[All]" dimensionUniqueName="[hca_payments]" displayFolder="" count="0" memberValueDatatype="20" unbalanced="0"/>
    <cacheHierarchy uniqueName="[hca_payments].[bill_id]" caption="bill_id" attribute="1" defaultMemberUniqueName="[hca_payments].[bill_id].[All]" allUniqueName="[hca_payments].[bill_id].[All]" dimensionUniqueName="[hca_payments]" displayFolder="" count="0" memberValueDatatype="20" unbalanced="0"/>
    <cacheHierarchy uniqueName="[hca_payments].[patient_id]" caption="patient_id" attribute="1" defaultMemberUniqueName="[hca_payments].[patient_id].[All]" allUniqueName="[hca_payments].[patient_id].[All]" dimensionUniqueName="[hca_payments]" displayFolder="" count="0" memberValueDatatype="20" unbalanced="0"/>
    <cacheHierarchy uniqueName="[hca_payments].[payment_date]" caption="payment_date" attribute="1" time="1" defaultMemberUniqueName="[hca_payments].[payment_date].[All]" allUniqueName="[hca_payments].[payment_date].[All]" dimensionUniqueName="[hca_payments]" displayFolder="" count="0" memberValueDatatype="7" unbalanced="0"/>
    <cacheHierarchy uniqueName="[hca_payments].[payment_amount]" caption="payment_amount" attribute="1" defaultMemberUniqueName="[hca_payments].[payment_amount].[All]" allUniqueName="[hca_payments].[payment_amount].[All]" dimensionUniqueName="[hca_payments]" displayFolder="" count="0" memberValueDatatype="20" unbalanced="0"/>
    <cacheHierarchy uniqueName="[hca_payments].[payment_method]" caption="payment_method" attribute="1" defaultMemberUniqueName="[hca_payments].[payment_method].[All]" allUniqueName="[hca_payments].[payment_method].[All]" dimensionUniqueName="[hca_payments]" displayFolder="" count="0" memberValueDatatype="130" unbalanced="0"/>
    <cacheHierarchy uniqueName="[hca_payments].[payment_status]" caption="payment_status" attribute="1" defaultMemberUniqueName="[hca_payments].[payment_status].[All]" allUniqueName="[hca_payments].[payment_status].[All]" dimensionUniqueName="[hca_payments]" displayFolder="" count="0" memberValueDatatype="130" unbalanced="0"/>
    <cacheHierarchy uniqueName="[Measures].[__XL_Count hca_bills]" caption="__XL_Count hca_bills" measure="1" displayFolder="" measureGroup="hca_bills" count="0" hidden="1"/>
    <cacheHierarchy uniqueName="[Measures].[__XL_Count hca_payments]" caption="__XL_Count hca_payments" measure="1" displayFolder="" measureGroup="hca_payments" count="0" hidden="1"/>
    <cacheHierarchy uniqueName="[Measures].[__XL_Count hca_admissions]" caption="__XL_Count hca_admissions" measure="1" displayFolder="" measureGroup="hca_admissions" count="0" hidden="1"/>
    <cacheHierarchy uniqueName="[Measures].[__XL_Count hca_departments]" caption="__XL_Count hca_departments" measure="1" displayFolder="" measureGroup="hca_departments" count="0" hidden="1"/>
    <cacheHierarchy uniqueName="[Measures].[__No measures defined]" caption="__No measures defined" measure="1" displayFolder="" count="0" hidden="1"/>
    <cacheHierarchy uniqueName="[Measures].[Sum of total_amount]" caption="Sum of total_amount" measure="1" displayFolder="" measureGroup="hca_bills" count="0" hidden="1">
      <extLst>
        <ext xmlns:x15="http://schemas.microsoft.com/office/spreadsheetml/2010/11/main" uri="{B97F6D7D-B522-45F9-BDA1-12C45D357490}">
          <x15:cacheHierarchy aggregatedColumn="19"/>
        </ext>
      </extLst>
    </cacheHierarchy>
    <cacheHierarchy uniqueName="[Measures].[Sum of payment_amount]" caption="Sum of payment_amount" measure="1" displayFolder="" measureGroup="hca_payments" count="0" hidden="1">
      <extLst>
        <ext xmlns:x15="http://schemas.microsoft.com/office/spreadsheetml/2010/11/main" uri="{B97F6D7D-B522-45F9-BDA1-12C45D357490}">
          <x15:cacheHierarchy aggregatedColumn="29"/>
        </ext>
      </extLst>
    </cacheHierarchy>
    <cacheHierarchy uniqueName="[Measures].[Sum of admission_id]" caption="Sum of admission_id" measure="1" displayFolder="" measureGroup="hca_admissions" count="0" hidden="1">
      <extLst>
        <ext xmlns:x15="http://schemas.microsoft.com/office/spreadsheetml/2010/11/main" uri="{B97F6D7D-B522-45F9-BDA1-12C45D357490}">
          <x15:cacheHierarchy aggregatedColumn="0"/>
        </ext>
      </extLst>
    </cacheHierarchy>
    <cacheHierarchy uniqueName="[Measures].[Count of admission_id]" caption="Count of admission_id" measure="1" displayFolder="" measureGroup="hca_admissions"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5">
    <dimension name="hca_admissions" uniqueName="[hca_admissions]" caption="hca_admissions"/>
    <dimension name="hca_bills" uniqueName="[hca_bills]" caption="hca_bills"/>
    <dimension name="hca_departments" uniqueName="[hca_departments]" caption="hca_departments"/>
    <dimension name="hca_payments" uniqueName="[hca_payments]" caption="hca_payments"/>
    <dimension measure="1" name="Measures" uniqueName="[Measures]" caption="Measures"/>
  </dimensions>
  <measureGroups count="4">
    <measureGroup name="hca_admissions" caption="hca_admissions"/>
    <measureGroup name="hca_bills" caption="hca_bills"/>
    <measureGroup name="hca_departments" caption="hca_departments"/>
    <measureGroup name="hca_payments" caption="hca_payments"/>
  </measureGroups>
  <maps count="7">
    <map measureGroup="0" dimension="0"/>
    <map measureGroup="0" dimension="2"/>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7.491974189812" backgroundQuery="1" createdVersion="6" refreshedVersion="6" minRefreshableVersion="3" recordCount="0" supportSubquery="1" supportAdvancedDrill="1" xr:uid="{0F907C66-4976-4F12-8475-B3FAC0233D26}">
  <cacheSource type="external" connectionId="13"/>
  <cacheFields count="3">
    <cacheField name="[hca_payments].[payment_method].[payment_method]" caption="payment_method" numFmtId="0" hierarchy="30" level="1">
      <sharedItems count="4">
        <s v="Cash"/>
        <s v="Credit Card"/>
        <s v="Debit Card"/>
        <s v="UPI"/>
      </sharedItems>
    </cacheField>
    <cacheField name="[Measures].[Sum of payment_amount]" caption="Sum of payment_amount" numFmtId="0" hierarchy="38" level="32767"/>
    <cacheField name="[hca_departments].[department_name].[department_name]" caption="department_name" numFmtId="0" hierarchy="22" level="1">
      <sharedItems containsSemiMixedTypes="0" containsNonDate="0" containsString="0"/>
    </cacheField>
  </cacheFields>
  <cacheHierarchies count="41">
    <cacheHierarchy uniqueName="[hca_admissions].[admission_id]" caption="admission_id" attribute="1" defaultMemberUniqueName="[hca_admissions].[admission_id].[All]" allUniqueName="[hca_admissions].[admission_id].[All]" dimensionUniqueName="[hca_admissions]" displayFolder="" count="0" memberValueDatatype="20" unbalanced="0"/>
    <cacheHierarchy uniqueName="[hca_admissions].[patient_id]" caption="patient_id" attribute="1" defaultMemberUniqueName="[hca_admissions].[patient_id].[All]" allUniqueName="[hca_admissions].[patient_id].[All]" dimensionUniqueName="[hca_admissions]" displayFolder="" count="0" memberValueDatatype="20" unbalanced="0"/>
    <cacheHierarchy uniqueName="[hca_admissions].[doctor_id]" caption="doctor_id" attribute="1" defaultMemberUniqueName="[hca_admissions].[doctor_id].[All]" allUniqueName="[hca_admissions].[doctor_id].[All]" dimensionUniqueName="[hca_admissions]" displayFolder="" count="0" memberValueDatatype="20" unbalanced="0"/>
    <cacheHierarchy uniqueName="[hca_admissions].[department_id]" caption="department_id" attribute="1" defaultMemberUniqueName="[hca_admissions].[department_id].[All]" allUniqueName="[hca_admissions].[department_id].[All]" dimensionUniqueName="[hca_admissions]" displayFolder="" count="0" memberValueDatatype="20" unbalanced="0"/>
    <cacheHierarchy uniqueName="[hca_admissions].[admission_date]" caption="admission_date" attribute="1" time="1" defaultMemberUniqueName="[hca_admissions].[admission_date].[All]" allUniqueName="[hca_admissions].[admission_date].[All]" dimensionUniqueName="[hca_admissions]" displayFolder="" count="0" memberValueDatatype="7" unbalanced="0"/>
    <cacheHierarchy uniqueName="[hca_admissions].[discharge_date]" caption="discharge_date" attribute="1" time="1" defaultMemberUniqueName="[hca_admissions].[discharge_date].[All]" allUniqueName="[hca_admissions].[discharge_date].[All]" dimensionUniqueName="[hca_admissions]" displayFolder="" count="0" memberValueDatatype="7" unbalanced="0"/>
    <cacheHierarchy uniqueName="[hca_admissions].[room_type]" caption="room_type" attribute="1" defaultMemberUniqueName="[hca_admissions].[room_type].[All]" allUniqueName="[hca_admissions].[room_type].[All]" dimensionUniqueName="[hca_admissions]" displayFolder="" count="0" memberValueDatatype="130" unbalanced="0"/>
    <cacheHierarchy uniqueName="[hca_admissions].[bed_number]" caption="bed_number" attribute="1" defaultMemberUniqueName="[hca_admissions].[bed_number].[All]" allUniqueName="[hca_admissions].[bed_number].[All]" dimensionUniqueName="[hca_admissions]" displayFolder="" count="0" memberValueDatatype="130" unbalanced="0"/>
    <cacheHierarchy uniqueName="[hca_admissions].[admission_type]" caption="admission_type" attribute="1" defaultMemberUniqueName="[hca_admissions].[admission_type].[All]" allUniqueName="[hca_admissions].[admission_type].[All]" dimensionUniqueName="[hca_admissions]" displayFolder="" count="2" memberValueDatatype="130" unbalanced="0"/>
    <cacheHierarchy uniqueName="[hca_admissions].[admission_status]" caption="admission_status" attribute="1" defaultMemberUniqueName="[hca_admissions].[admission_status].[All]" allUniqueName="[hca_admissions].[admission_status].[All]" dimensionUniqueName="[hca_admissions]" displayFolder="" count="0" memberValueDatatype="130" unbalanced="0"/>
    <cacheHierarchy uniqueName="[hca_bills].[bill_id]" caption="bill_id" attribute="1" defaultMemberUniqueName="[hca_bills].[bill_id].[All]" allUniqueName="[hca_bills].[bill_id].[All]" dimensionUniqueName="[hca_bills]" displayFolder="" count="0" memberValueDatatype="20" unbalanced="0"/>
    <cacheHierarchy uniqueName="[hca_bills].[patient_id]" caption="patient_id" attribute="1" defaultMemberUniqueName="[hca_bills].[patient_id].[All]" allUniqueName="[hca_bills].[patient_id].[All]" dimensionUniqueName="[hca_bills]" displayFolder="" count="0" memberValueDatatype="20" unbalanced="0"/>
    <cacheHierarchy uniqueName="[hca_bills].[admission_id]" caption="admission_id" attribute="1" defaultMemberUniqueName="[hca_bills].[admission_id].[All]" allUniqueName="[hca_bills].[admission_id].[All]" dimensionUniqueName="[hca_bills]" displayFolder="" count="0" memberValueDatatype="20" unbalanced="0"/>
    <cacheHierarchy uniqueName="[hca_bills].[bill_date]" caption="bill_date" attribute="1" time="1" defaultMemberUniqueName="[hca_bills].[bill_date].[All]" allUniqueName="[hca_bills].[bill_date].[All]" dimensionUniqueName="[hca_bills]" displayFolder="" count="0" memberValueDatatype="7" unbalanced="0"/>
    <cacheHierarchy uniqueName="[hca_bills].[consultation_charges]" caption="consultation_charges" attribute="1" defaultMemberUniqueName="[hca_bills].[consultation_charges].[All]" allUniqueName="[hca_bills].[consultation_charges].[All]" dimensionUniqueName="[hca_bills]" displayFolder="" count="0" memberValueDatatype="20" unbalanced="0"/>
    <cacheHierarchy uniqueName="[hca_bills].[medicine_charges]" caption="medicine_charges" attribute="1" defaultMemberUniqueName="[hca_bills].[medicine_charges].[All]" allUniqueName="[hca_bills].[medicine_charges].[All]" dimensionUniqueName="[hca_bills]" displayFolder="" count="0" memberValueDatatype="20" unbalanced="0"/>
    <cacheHierarchy uniqueName="[hca_bills].[lab_charges]" caption="lab_charges" attribute="1" defaultMemberUniqueName="[hca_bills].[lab_charges].[All]" allUniqueName="[hca_bills].[lab_charges].[All]" dimensionUniqueName="[hca_bills]" displayFolder="" count="0" memberValueDatatype="20" unbalanced="0"/>
    <cacheHierarchy uniqueName="[hca_bills].[room_charges]" caption="room_charges" attribute="1" defaultMemberUniqueName="[hca_bills].[room_charges].[All]" allUniqueName="[hca_bills].[room_charges].[All]" dimensionUniqueName="[hca_bills]" displayFolder="" count="0" memberValueDatatype="20" unbalanced="0"/>
    <cacheHierarchy uniqueName="[hca_bills].[treatment_charges]" caption="treatment_charges" attribute="1" defaultMemberUniqueName="[hca_bills].[treatment_charges].[All]" allUniqueName="[hca_bills].[treatment_charges].[All]" dimensionUniqueName="[hca_bills]" displayFolder="" count="0" memberValueDatatype="20" unbalanced="0"/>
    <cacheHierarchy uniqueName="[hca_bills].[total_amount]" caption="total_amount" attribute="1" defaultMemberUniqueName="[hca_bills].[total_amount].[All]" allUniqueName="[hca_bills].[total_amount].[All]" dimensionUniqueName="[hca_bills]" displayFolder="" count="0" memberValueDatatype="20" unbalanced="0"/>
    <cacheHierarchy uniqueName="[hca_bills].[bill_status]" caption="bill_status" attribute="1" defaultMemberUniqueName="[hca_bills].[bill_status].[All]" allUniqueName="[hca_bills].[bill_status].[All]" dimensionUniqueName="[hca_bills]" displayFolder="" count="0" memberValueDatatype="130" unbalanced="0"/>
    <cacheHierarchy uniqueName="[hca_departments].[department_id]" caption="department_id" attribute="1" defaultMemberUniqueName="[hca_departments].[department_id].[All]" allUniqueName="[hca_departments].[department_id].[All]" dimensionUniqueName="[hca_departments]" displayFolder="" count="0" memberValueDatatype="20" unbalanced="0"/>
    <cacheHierarchy uniqueName="[hca_departments].[department_name]" caption="department_name" attribute="1" defaultMemberUniqueName="[hca_departments].[department_name].[All]" allUniqueName="[hca_departments].[department_name].[All]" dimensionUniqueName="[hca_departments]" displayFolder="" count="2" memberValueDatatype="130" unbalanced="0">
      <fieldsUsage count="2">
        <fieldUsage x="-1"/>
        <fieldUsage x="2"/>
      </fieldsUsage>
    </cacheHierarchy>
    <cacheHierarchy uniqueName="[hca_departments].[floor_no]" caption="floor_no" attribute="1" defaultMemberUniqueName="[hca_departments].[floor_no].[All]" allUniqueName="[hca_departments].[floor_no].[All]" dimensionUniqueName="[hca_departments]" displayFolder="" count="0" memberValueDatatype="20" unbalanced="0"/>
    <cacheHierarchy uniqueName="[hca_departments].[department_type]" caption="department_type" attribute="1" defaultMemberUniqueName="[hca_departments].[department_type].[All]" allUniqueName="[hca_departments].[department_type].[All]" dimensionUniqueName="[hca_departments]" displayFolder="" count="0" memberValueDatatype="130" unbalanced="0"/>
    <cacheHierarchy uniqueName="[hca_payments].[payment_id]" caption="payment_id" attribute="1" defaultMemberUniqueName="[hca_payments].[payment_id].[All]" allUniqueName="[hca_payments].[payment_id].[All]" dimensionUniqueName="[hca_payments]" displayFolder="" count="0" memberValueDatatype="20" unbalanced="0"/>
    <cacheHierarchy uniqueName="[hca_payments].[bill_id]" caption="bill_id" attribute="1" defaultMemberUniqueName="[hca_payments].[bill_id].[All]" allUniqueName="[hca_payments].[bill_id].[All]" dimensionUniqueName="[hca_payments]" displayFolder="" count="0" memberValueDatatype="20" unbalanced="0"/>
    <cacheHierarchy uniqueName="[hca_payments].[patient_id]" caption="patient_id" attribute="1" defaultMemberUniqueName="[hca_payments].[patient_id].[All]" allUniqueName="[hca_payments].[patient_id].[All]" dimensionUniqueName="[hca_payments]" displayFolder="" count="0" memberValueDatatype="20" unbalanced="0"/>
    <cacheHierarchy uniqueName="[hca_payments].[payment_date]" caption="payment_date" attribute="1" time="1" defaultMemberUniqueName="[hca_payments].[payment_date].[All]" allUniqueName="[hca_payments].[payment_date].[All]" dimensionUniqueName="[hca_payments]" displayFolder="" count="0" memberValueDatatype="7" unbalanced="0"/>
    <cacheHierarchy uniqueName="[hca_payments].[payment_amount]" caption="payment_amount" attribute="1" defaultMemberUniqueName="[hca_payments].[payment_amount].[All]" allUniqueName="[hca_payments].[payment_amount].[All]" dimensionUniqueName="[hca_payments]" displayFolder="" count="0" memberValueDatatype="20" unbalanced="0"/>
    <cacheHierarchy uniqueName="[hca_payments].[payment_method]" caption="payment_method" attribute="1" defaultMemberUniqueName="[hca_payments].[payment_method].[All]" allUniqueName="[hca_payments].[payment_method].[All]" dimensionUniqueName="[hca_payments]" displayFolder="" count="2" memberValueDatatype="130" unbalanced="0">
      <fieldsUsage count="2">
        <fieldUsage x="-1"/>
        <fieldUsage x="0"/>
      </fieldsUsage>
    </cacheHierarchy>
    <cacheHierarchy uniqueName="[hca_payments].[payment_status]" caption="payment_status" attribute="1" defaultMemberUniqueName="[hca_payments].[payment_status].[All]" allUniqueName="[hca_payments].[payment_status].[All]" dimensionUniqueName="[hca_payments]" displayFolder="" count="0" memberValueDatatype="130" unbalanced="0"/>
    <cacheHierarchy uniqueName="[Measures].[__XL_Count hca_bills]" caption="__XL_Count hca_bills" measure="1" displayFolder="" measureGroup="hca_bills" count="0" hidden="1"/>
    <cacheHierarchy uniqueName="[Measures].[__XL_Count hca_payments]" caption="__XL_Count hca_payments" measure="1" displayFolder="" measureGroup="hca_payments" count="0" hidden="1"/>
    <cacheHierarchy uniqueName="[Measures].[__XL_Count hca_admissions]" caption="__XL_Count hca_admissions" measure="1" displayFolder="" measureGroup="hca_admissions" count="0" hidden="1"/>
    <cacheHierarchy uniqueName="[Measures].[__XL_Count hca_departments]" caption="__XL_Count hca_departments" measure="1" displayFolder="" measureGroup="hca_departments" count="0" hidden="1"/>
    <cacheHierarchy uniqueName="[Measures].[__No measures defined]" caption="__No measures defined" measure="1" displayFolder="" count="0" hidden="1"/>
    <cacheHierarchy uniqueName="[Measures].[Sum of total_amount]" caption="Sum of total_amount" measure="1" displayFolder="" measureGroup="hca_bills" count="0" hidden="1">
      <extLst>
        <ext xmlns:x15="http://schemas.microsoft.com/office/spreadsheetml/2010/11/main" uri="{B97F6D7D-B522-45F9-BDA1-12C45D357490}">
          <x15:cacheHierarchy aggregatedColumn="19"/>
        </ext>
      </extLst>
    </cacheHierarchy>
    <cacheHierarchy uniqueName="[Measures].[Sum of payment_amount]" caption="Sum of payment_amount" measure="1" displayFolder="" measureGroup="hca_payment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admission_id]" caption="Sum of admission_id" measure="1" displayFolder="" measureGroup="hca_admissions" count="0" hidden="1">
      <extLst>
        <ext xmlns:x15="http://schemas.microsoft.com/office/spreadsheetml/2010/11/main" uri="{B97F6D7D-B522-45F9-BDA1-12C45D357490}">
          <x15:cacheHierarchy aggregatedColumn="0"/>
        </ext>
      </extLst>
    </cacheHierarchy>
    <cacheHierarchy uniqueName="[Measures].[Count of admission_id]" caption="Count of admission_id" measure="1" displayFolder="" measureGroup="hca_admissions" count="0" hidden="1">
      <extLst>
        <ext xmlns:x15="http://schemas.microsoft.com/office/spreadsheetml/2010/11/main" uri="{B97F6D7D-B522-45F9-BDA1-12C45D357490}">
          <x15:cacheHierarchy aggregatedColumn="0"/>
        </ext>
      </extLst>
    </cacheHierarchy>
  </cacheHierarchies>
  <kpis count="0"/>
  <dimensions count="5">
    <dimension name="hca_admissions" uniqueName="[hca_admissions]" caption="hca_admissions"/>
    <dimension name="hca_bills" uniqueName="[hca_bills]" caption="hca_bills"/>
    <dimension name="hca_departments" uniqueName="[hca_departments]" caption="hca_departments"/>
    <dimension name="hca_payments" uniqueName="[hca_payments]" caption="hca_payments"/>
    <dimension measure="1" name="Measures" uniqueName="[Measures]" caption="Measures"/>
  </dimensions>
  <measureGroups count="4">
    <measureGroup name="hca_admissions" caption="hca_admissions"/>
    <measureGroup name="hca_bills" caption="hca_bills"/>
    <measureGroup name="hca_departments" caption="hca_departments"/>
    <measureGroup name="hca_payments" caption="hca_payments"/>
  </measureGroups>
  <maps count="7">
    <map measureGroup="0" dimension="0"/>
    <map measureGroup="0" dimension="2"/>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7.491974652781" backgroundQuery="1" createdVersion="6" refreshedVersion="6" minRefreshableVersion="3" recordCount="0" supportSubquery="1" supportAdvancedDrill="1" xr:uid="{44BDC39C-109B-4ADB-A427-5F5EBE764A01}">
  <cacheSource type="external" connectionId="13"/>
  <cacheFields count="3">
    <cacheField name="[Measures].[Sum of payment_amount]" caption="Sum of payment_amount" numFmtId="0" hierarchy="38" level="32767"/>
    <cacheField name="[Measures].[Sum of total_amount]" caption="Sum of total_amount" numFmtId="0" hierarchy="37" level="32767"/>
    <cacheField name="[hca_departments].[department_name].[department_name]" caption="department_name" numFmtId="0" hierarchy="22" level="1">
      <sharedItems containsSemiMixedTypes="0" containsNonDate="0" containsString="0"/>
    </cacheField>
  </cacheFields>
  <cacheHierarchies count="41">
    <cacheHierarchy uniqueName="[hca_admissions].[admission_id]" caption="admission_id" attribute="1" defaultMemberUniqueName="[hca_admissions].[admission_id].[All]" allUniqueName="[hca_admissions].[admission_id].[All]" dimensionUniqueName="[hca_admissions]" displayFolder="" count="0" memberValueDatatype="20" unbalanced="0"/>
    <cacheHierarchy uniqueName="[hca_admissions].[patient_id]" caption="patient_id" attribute="1" defaultMemberUniqueName="[hca_admissions].[patient_id].[All]" allUniqueName="[hca_admissions].[patient_id].[All]" dimensionUniqueName="[hca_admissions]" displayFolder="" count="0" memberValueDatatype="20" unbalanced="0"/>
    <cacheHierarchy uniqueName="[hca_admissions].[doctor_id]" caption="doctor_id" attribute="1" defaultMemberUniqueName="[hca_admissions].[doctor_id].[All]" allUniqueName="[hca_admissions].[doctor_id].[All]" dimensionUniqueName="[hca_admissions]" displayFolder="" count="0" memberValueDatatype="20" unbalanced="0"/>
    <cacheHierarchy uniqueName="[hca_admissions].[department_id]" caption="department_id" attribute="1" defaultMemberUniqueName="[hca_admissions].[department_id].[All]" allUniqueName="[hca_admissions].[department_id].[All]" dimensionUniqueName="[hca_admissions]" displayFolder="" count="0" memberValueDatatype="20" unbalanced="0"/>
    <cacheHierarchy uniqueName="[hca_admissions].[admission_date]" caption="admission_date" attribute="1" time="1" defaultMemberUniqueName="[hca_admissions].[admission_date].[All]" allUniqueName="[hca_admissions].[admission_date].[All]" dimensionUniqueName="[hca_admissions]" displayFolder="" count="0" memberValueDatatype="7" unbalanced="0"/>
    <cacheHierarchy uniqueName="[hca_admissions].[discharge_date]" caption="discharge_date" attribute="1" time="1" defaultMemberUniqueName="[hca_admissions].[discharge_date].[All]" allUniqueName="[hca_admissions].[discharge_date].[All]" dimensionUniqueName="[hca_admissions]" displayFolder="" count="0" memberValueDatatype="7" unbalanced="0"/>
    <cacheHierarchy uniqueName="[hca_admissions].[room_type]" caption="room_type" attribute="1" defaultMemberUniqueName="[hca_admissions].[room_type].[All]" allUniqueName="[hca_admissions].[room_type].[All]" dimensionUniqueName="[hca_admissions]" displayFolder="" count="0" memberValueDatatype="130" unbalanced="0"/>
    <cacheHierarchy uniqueName="[hca_admissions].[bed_number]" caption="bed_number" attribute="1" defaultMemberUniqueName="[hca_admissions].[bed_number].[All]" allUniqueName="[hca_admissions].[bed_number].[All]" dimensionUniqueName="[hca_admissions]" displayFolder="" count="0" memberValueDatatype="130" unbalanced="0"/>
    <cacheHierarchy uniqueName="[hca_admissions].[admission_type]" caption="admission_type" attribute="1" defaultMemberUniqueName="[hca_admissions].[admission_type].[All]" allUniqueName="[hca_admissions].[admission_type].[All]" dimensionUniqueName="[hca_admissions]" displayFolder="" count="2" memberValueDatatype="130" unbalanced="0"/>
    <cacheHierarchy uniqueName="[hca_admissions].[admission_status]" caption="admission_status" attribute="1" defaultMemberUniqueName="[hca_admissions].[admission_status].[All]" allUniqueName="[hca_admissions].[admission_status].[All]" dimensionUniqueName="[hca_admissions]" displayFolder="" count="0" memberValueDatatype="130" unbalanced="0"/>
    <cacheHierarchy uniqueName="[hca_bills].[bill_id]" caption="bill_id" attribute="1" defaultMemberUniqueName="[hca_bills].[bill_id].[All]" allUniqueName="[hca_bills].[bill_id].[All]" dimensionUniqueName="[hca_bills]" displayFolder="" count="0" memberValueDatatype="20" unbalanced="0"/>
    <cacheHierarchy uniqueName="[hca_bills].[patient_id]" caption="patient_id" attribute="1" defaultMemberUniqueName="[hca_bills].[patient_id].[All]" allUniqueName="[hca_bills].[patient_id].[All]" dimensionUniqueName="[hca_bills]" displayFolder="" count="0" memberValueDatatype="20" unbalanced="0"/>
    <cacheHierarchy uniqueName="[hca_bills].[admission_id]" caption="admission_id" attribute="1" defaultMemberUniqueName="[hca_bills].[admission_id].[All]" allUniqueName="[hca_bills].[admission_id].[All]" dimensionUniqueName="[hca_bills]" displayFolder="" count="0" memberValueDatatype="20" unbalanced="0"/>
    <cacheHierarchy uniqueName="[hca_bills].[bill_date]" caption="bill_date" attribute="1" time="1" defaultMemberUniqueName="[hca_bills].[bill_date].[All]" allUniqueName="[hca_bills].[bill_date].[All]" dimensionUniqueName="[hca_bills]" displayFolder="" count="0" memberValueDatatype="7" unbalanced="0"/>
    <cacheHierarchy uniqueName="[hca_bills].[consultation_charges]" caption="consultation_charges" attribute="1" defaultMemberUniqueName="[hca_bills].[consultation_charges].[All]" allUniqueName="[hca_bills].[consultation_charges].[All]" dimensionUniqueName="[hca_bills]" displayFolder="" count="0" memberValueDatatype="20" unbalanced="0"/>
    <cacheHierarchy uniqueName="[hca_bills].[medicine_charges]" caption="medicine_charges" attribute="1" defaultMemberUniqueName="[hca_bills].[medicine_charges].[All]" allUniqueName="[hca_bills].[medicine_charges].[All]" dimensionUniqueName="[hca_bills]" displayFolder="" count="0" memberValueDatatype="20" unbalanced="0"/>
    <cacheHierarchy uniqueName="[hca_bills].[lab_charges]" caption="lab_charges" attribute="1" defaultMemberUniqueName="[hca_bills].[lab_charges].[All]" allUniqueName="[hca_bills].[lab_charges].[All]" dimensionUniqueName="[hca_bills]" displayFolder="" count="0" memberValueDatatype="20" unbalanced="0"/>
    <cacheHierarchy uniqueName="[hca_bills].[room_charges]" caption="room_charges" attribute="1" defaultMemberUniqueName="[hca_bills].[room_charges].[All]" allUniqueName="[hca_bills].[room_charges].[All]" dimensionUniqueName="[hca_bills]" displayFolder="" count="0" memberValueDatatype="20" unbalanced="0"/>
    <cacheHierarchy uniqueName="[hca_bills].[treatment_charges]" caption="treatment_charges" attribute="1" defaultMemberUniqueName="[hca_bills].[treatment_charges].[All]" allUniqueName="[hca_bills].[treatment_charges].[All]" dimensionUniqueName="[hca_bills]" displayFolder="" count="0" memberValueDatatype="20" unbalanced="0"/>
    <cacheHierarchy uniqueName="[hca_bills].[total_amount]" caption="total_amount" attribute="1" defaultMemberUniqueName="[hca_bills].[total_amount].[All]" allUniqueName="[hca_bills].[total_amount].[All]" dimensionUniqueName="[hca_bills]" displayFolder="" count="0" memberValueDatatype="20" unbalanced="0"/>
    <cacheHierarchy uniqueName="[hca_bills].[bill_status]" caption="bill_status" attribute="1" defaultMemberUniqueName="[hca_bills].[bill_status].[All]" allUniqueName="[hca_bills].[bill_status].[All]" dimensionUniqueName="[hca_bills]" displayFolder="" count="0" memberValueDatatype="130" unbalanced="0"/>
    <cacheHierarchy uniqueName="[hca_departments].[department_id]" caption="department_id" attribute="1" defaultMemberUniqueName="[hca_departments].[department_id].[All]" allUniqueName="[hca_departments].[department_id].[All]" dimensionUniqueName="[hca_departments]" displayFolder="" count="0" memberValueDatatype="20" unbalanced="0"/>
    <cacheHierarchy uniqueName="[hca_departments].[department_name]" caption="department_name" attribute="1" defaultMemberUniqueName="[hca_departments].[department_name].[All]" allUniqueName="[hca_departments].[department_name].[All]" dimensionUniqueName="[hca_departments]" displayFolder="" count="2" memberValueDatatype="130" unbalanced="0">
      <fieldsUsage count="2">
        <fieldUsage x="-1"/>
        <fieldUsage x="2"/>
      </fieldsUsage>
    </cacheHierarchy>
    <cacheHierarchy uniqueName="[hca_departments].[floor_no]" caption="floor_no" attribute="1" defaultMemberUniqueName="[hca_departments].[floor_no].[All]" allUniqueName="[hca_departments].[floor_no].[All]" dimensionUniqueName="[hca_departments]" displayFolder="" count="0" memberValueDatatype="20" unbalanced="0"/>
    <cacheHierarchy uniqueName="[hca_departments].[department_type]" caption="department_type" attribute="1" defaultMemberUniqueName="[hca_departments].[department_type].[All]" allUniqueName="[hca_departments].[department_type].[All]" dimensionUniqueName="[hca_departments]" displayFolder="" count="0" memberValueDatatype="130" unbalanced="0"/>
    <cacheHierarchy uniqueName="[hca_payments].[payment_id]" caption="payment_id" attribute="1" defaultMemberUniqueName="[hca_payments].[payment_id].[All]" allUniqueName="[hca_payments].[payment_id].[All]" dimensionUniqueName="[hca_payments]" displayFolder="" count="0" memberValueDatatype="20" unbalanced="0"/>
    <cacheHierarchy uniqueName="[hca_payments].[bill_id]" caption="bill_id" attribute="1" defaultMemberUniqueName="[hca_payments].[bill_id].[All]" allUniqueName="[hca_payments].[bill_id].[All]" dimensionUniqueName="[hca_payments]" displayFolder="" count="0" memberValueDatatype="20" unbalanced="0"/>
    <cacheHierarchy uniqueName="[hca_payments].[patient_id]" caption="patient_id" attribute="1" defaultMemberUniqueName="[hca_payments].[patient_id].[All]" allUniqueName="[hca_payments].[patient_id].[All]" dimensionUniqueName="[hca_payments]" displayFolder="" count="0" memberValueDatatype="20" unbalanced="0"/>
    <cacheHierarchy uniqueName="[hca_payments].[payment_date]" caption="payment_date" attribute="1" time="1" defaultMemberUniqueName="[hca_payments].[payment_date].[All]" allUniqueName="[hca_payments].[payment_date].[All]" dimensionUniqueName="[hca_payments]" displayFolder="" count="0" memberValueDatatype="7" unbalanced="0"/>
    <cacheHierarchy uniqueName="[hca_payments].[payment_amount]" caption="payment_amount" attribute="1" defaultMemberUniqueName="[hca_payments].[payment_amount].[All]" allUniqueName="[hca_payments].[payment_amount].[All]" dimensionUniqueName="[hca_payments]" displayFolder="" count="0" memberValueDatatype="20" unbalanced="0"/>
    <cacheHierarchy uniqueName="[hca_payments].[payment_method]" caption="payment_method" attribute="1" defaultMemberUniqueName="[hca_payments].[payment_method].[All]" allUniqueName="[hca_payments].[payment_method].[All]" dimensionUniqueName="[hca_payments]" displayFolder="" count="0" memberValueDatatype="130" unbalanced="0"/>
    <cacheHierarchy uniqueName="[hca_payments].[payment_status]" caption="payment_status" attribute="1" defaultMemberUniqueName="[hca_payments].[payment_status].[All]" allUniqueName="[hca_payments].[payment_status].[All]" dimensionUniqueName="[hca_payments]" displayFolder="" count="0" memberValueDatatype="130" unbalanced="0"/>
    <cacheHierarchy uniqueName="[Measures].[__XL_Count hca_bills]" caption="__XL_Count hca_bills" measure="1" displayFolder="" measureGroup="hca_bills" count="0" hidden="1"/>
    <cacheHierarchy uniqueName="[Measures].[__XL_Count hca_payments]" caption="__XL_Count hca_payments" measure="1" displayFolder="" measureGroup="hca_payments" count="0" hidden="1"/>
    <cacheHierarchy uniqueName="[Measures].[__XL_Count hca_admissions]" caption="__XL_Count hca_admissions" measure="1" displayFolder="" measureGroup="hca_admissions" count="0" hidden="1"/>
    <cacheHierarchy uniqueName="[Measures].[__XL_Count hca_departments]" caption="__XL_Count hca_departments" measure="1" displayFolder="" measureGroup="hca_departments" count="0" hidden="1"/>
    <cacheHierarchy uniqueName="[Measures].[__No measures defined]" caption="__No measures defined" measure="1" displayFolder="" count="0" hidden="1"/>
    <cacheHierarchy uniqueName="[Measures].[Sum of total_amount]" caption="Sum of total_amount" measure="1" displayFolder="" measureGroup="hca_bill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ayment_amount]" caption="Sum of payment_amount" measure="1" displayFolder="" measureGroup="hca_payment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admission_id]" caption="Sum of admission_id" measure="1" displayFolder="" measureGroup="hca_admissions" count="0" hidden="1">
      <extLst>
        <ext xmlns:x15="http://schemas.microsoft.com/office/spreadsheetml/2010/11/main" uri="{B97F6D7D-B522-45F9-BDA1-12C45D357490}">
          <x15:cacheHierarchy aggregatedColumn="0"/>
        </ext>
      </extLst>
    </cacheHierarchy>
    <cacheHierarchy uniqueName="[Measures].[Count of admission_id]" caption="Count of admission_id" measure="1" displayFolder="" measureGroup="hca_admissions" count="0" hidden="1">
      <extLst>
        <ext xmlns:x15="http://schemas.microsoft.com/office/spreadsheetml/2010/11/main" uri="{B97F6D7D-B522-45F9-BDA1-12C45D357490}">
          <x15:cacheHierarchy aggregatedColumn="0"/>
        </ext>
      </extLst>
    </cacheHierarchy>
  </cacheHierarchies>
  <kpis count="0"/>
  <dimensions count="5">
    <dimension name="hca_admissions" uniqueName="[hca_admissions]" caption="hca_admissions"/>
    <dimension name="hca_bills" uniqueName="[hca_bills]" caption="hca_bills"/>
    <dimension name="hca_departments" uniqueName="[hca_departments]" caption="hca_departments"/>
    <dimension name="hca_payments" uniqueName="[hca_payments]" caption="hca_payments"/>
    <dimension measure="1" name="Measures" uniqueName="[Measures]" caption="Measures"/>
  </dimensions>
  <measureGroups count="4">
    <measureGroup name="hca_admissions" caption="hca_admissions"/>
    <measureGroup name="hca_bills" caption="hca_bills"/>
    <measureGroup name="hca_departments" caption="hca_departments"/>
    <measureGroup name="hca_payments" caption="hca_payments"/>
  </measureGroups>
  <maps count="7">
    <map measureGroup="0" dimension="0"/>
    <map measureGroup="0" dimension="2"/>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7.49197534722" backgroundQuery="1" createdVersion="6" refreshedVersion="6" minRefreshableVersion="3" recordCount="0" supportSubquery="1" supportAdvancedDrill="1" xr:uid="{9CEE41E6-E709-48FB-AC7A-E843379430C8}">
  <cacheSource type="external" connectionId="13"/>
  <cacheFields count="3">
    <cacheField name="[Measures].[Sum of total_amount]" caption="Sum of total_amount" numFmtId="0" hierarchy="37" level="32767"/>
    <cacheField name="[Measures].[Sum of payment_amount]" caption="Sum of payment_amount" numFmtId="0" hierarchy="38" level="32767"/>
    <cacheField name="[hca_departments].[department_name].[department_name]" caption="department_name" numFmtId="0" hierarchy="22" level="1">
      <sharedItems containsSemiMixedTypes="0" containsNonDate="0" containsString="0"/>
    </cacheField>
  </cacheFields>
  <cacheHierarchies count="41">
    <cacheHierarchy uniqueName="[hca_admissions].[admission_id]" caption="admission_id" attribute="1" defaultMemberUniqueName="[hca_admissions].[admission_id].[All]" allUniqueName="[hca_admissions].[admission_id].[All]" dimensionUniqueName="[hca_admissions]" displayFolder="" count="0" memberValueDatatype="20" unbalanced="0"/>
    <cacheHierarchy uniqueName="[hca_admissions].[patient_id]" caption="patient_id" attribute="1" defaultMemberUniqueName="[hca_admissions].[patient_id].[All]" allUniqueName="[hca_admissions].[patient_id].[All]" dimensionUniqueName="[hca_admissions]" displayFolder="" count="0" memberValueDatatype="20" unbalanced="0"/>
    <cacheHierarchy uniqueName="[hca_admissions].[doctor_id]" caption="doctor_id" attribute="1" defaultMemberUniqueName="[hca_admissions].[doctor_id].[All]" allUniqueName="[hca_admissions].[doctor_id].[All]" dimensionUniqueName="[hca_admissions]" displayFolder="" count="0" memberValueDatatype="20" unbalanced="0"/>
    <cacheHierarchy uniqueName="[hca_admissions].[department_id]" caption="department_id" attribute="1" defaultMemberUniqueName="[hca_admissions].[department_id].[All]" allUniqueName="[hca_admissions].[department_id].[All]" dimensionUniqueName="[hca_admissions]" displayFolder="" count="0" memberValueDatatype="20" unbalanced="0"/>
    <cacheHierarchy uniqueName="[hca_admissions].[admission_date]" caption="admission_date" attribute="1" time="1" defaultMemberUniqueName="[hca_admissions].[admission_date].[All]" allUniqueName="[hca_admissions].[admission_date].[All]" dimensionUniqueName="[hca_admissions]" displayFolder="" count="0" memberValueDatatype="7" unbalanced="0"/>
    <cacheHierarchy uniqueName="[hca_admissions].[discharge_date]" caption="discharge_date" attribute="1" time="1" defaultMemberUniqueName="[hca_admissions].[discharge_date].[All]" allUniqueName="[hca_admissions].[discharge_date].[All]" dimensionUniqueName="[hca_admissions]" displayFolder="" count="0" memberValueDatatype="7" unbalanced="0"/>
    <cacheHierarchy uniqueName="[hca_admissions].[room_type]" caption="room_type" attribute="1" defaultMemberUniqueName="[hca_admissions].[room_type].[All]" allUniqueName="[hca_admissions].[room_type].[All]" dimensionUniqueName="[hca_admissions]" displayFolder="" count="0" memberValueDatatype="130" unbalanced="0"/>
    <cacheHierarchy uniqueName="[hca_admissions].[bed_number]" caption="bed_number" attribute="1" defaultMemberUniqueName="[hca_admissions].[bed_number].[All]" allUniqueName="[hca_admissions].[bed_number].[All]" dimensionUniqueName="[hca_admissions]" displayFolder="" count="0" memberValueDatatype="130" unbalanced="0"/>
    <cacheHierarchy uniqueName="[hca_admissions].[admission_type]" caption="admission_type" attribute="1" defaultMemberUniqueName="[hca_admissions].[admission_type].[All]" allUniqueName="[hca_admissions].[admission_type].[All]" dimensionUniqueName="[hca_admissions]" displayFolder="" count="2" memberValueDatatype="130" unbalanced="0"/>
    <cacheHierarchy uniqueName="[hca_admissions].[admission_status]" caption="admission_status" attribute="1" defaultMemberUniqueName="[hca_admissions].[admission_status].[All]" allUniqueName="[hca_admissions].[admission_status].[All]" dimensionUniqueName="[hca_admissions]" displayFolder="" count="0" memberValueDatatype="130" unbalanced="0"/>
    <cacheHierarchy uniqueName="[hca_bills].[bill_id]" caption="bill_id" attribute="1" defaultMemberUniqueName="[hca_bills].[bill_id].[All]" allUniqueName="[hca_bills].[bill_id].[All]" dimensionUniqueName="[hca_bills]" displayFolder="" count="0" memberValueDatatype="20" unbalanced="0"/>
    <cacheHierarchy uniqueName="[hca_bills].[patient_id]" caption="patient_id" attribute="1" defaultMemberUniqueName="[hca_bills].[patient_id].[All]" allUniqueName="[hca_bills].[patient_id].[All]" dimensionUniqueName="[hca_bills]" displayFolder="" count="0" memberValueDatatype="20" unbalanced="0"/>
    <cacheHierarchy uniqueName="[hca_bills].[admission_id]" caption="admission_id" attribute="1" defaultMemberUniqueName="[hca_bills].[admission_id].[All]" allUniqueName="[hca_bills].[admission_id].[All]" dimensionUniqueName="[hca_bills]" displayFolder="" count="0" memberValueDatatype="20" unbalanced="0"/>
    <cacheHierarchy uniqueName="[hca_bills].[bill_date]" caption="bill_date" attribute="1" time="1" defaultMemberUniqueName="[hca_bills].[bill_date].[All]" allUniqueName="[hca_bills].[bill_date].[All]" dimensionUniqueName="[hca_bills]" displayFolder="" count="0" memberValueDatatype="7" unbalanced="0"/>
    <cacheHierarchy uniqueName="[hca_bills].[consultation_charges]" caption="consultation_charges" attribute="1" defaultMemberUniqueName="[hca_bills].[consultation_charges].[All]" allUniqueName="[hca_bills].[consultation_charges].[All]" dimensionUniqueName="[hca_bills]" displayFolder="" count="0" memberValueDatatype="20" unbalanced="0"/>
    <cacheHierarchy uniqueName="[hca_bills].[medicine_charges]" caption="medicine_charges" attribute="1" defaultMemberUniqueName="[hca_bills].[medicine_charges].[All]" allUniqueName="[hca_bills].[medicine_charges].[All]" dimensionUniqueName="[hca_bills]" displayFolder="" count="0" memberValueDatatype="20" unbalanced="0"/>
    <cacheHierarchy uniqueName="[hca_bills].[lab_charges]" caption="lab_charges" attribute="1" defaultMemberUniqueName="[hca_bills].[lab_charges].[All]" allUniqueName="[hca_bills].[lab_charges].[All]" dimensionUniqueName="[hca_bills]" displayFolder="" count="0" memberValueDatatype="20" unbalanced="0"/>
    <cacheHierarchy uniqueName="[hca_bills].[room_charges]" caption="room_charges" attribute="1" defaultMemberUniqueName="[hca_bills].[room_charges].[All]" allUniqueName="[hca_bills].[room_charges].[All]" dimensionUniqueName="[hca_bills]" displayFolder="" count="0" memberValueDatatype="20" unbalanced="0"/>
    <cacheHierarchy uniqueName="[hca_bills].[treatment_charges]" caption="treatment_charges" attribute="1" defaultMemberUniqueName="[hca_bills].[treatment_charges].[All]" allUniqueName="[hca_bills].[treatment_charges].[All]" dimensionUniqueName="[hca_bills]" displayFolder="" count="0" memberValueDatatype="20" unbalanced="0"/>
    <cacheHierarchy uniqueName="[hca_bills].[total_amount]" caption="total_amount" attribute="1" defaultMemberUniqueName="[hca_bills].[total_amount].[All]" allUniqueName="[hca_bills].[total_amount].[All]" dimensionUniqueName="[hca_bills]" displayFolder="" count="0" memberValueDatatype="20" unbalanced="0"/>
    <cacheHierarchy uniqueName="[hca_bills].[bill_status]" caption="bill_status" attribute="1" defaultMemberUniqueName="[hca_bills].[bill_status].[All]" allUniqueName="[hca_bills].[bill_status].[All]" dimensionUniqueName="[hca_bills]" displayFolder="" count="0" memberValueDatatype="130" unbalanced="0"/>
    <cacheHierarchy uniqueName="[hca_departments].[department_id]" caption="department_id" attribute="1" defaultMemberUniqueName="[hca_departments].[department_id].[All]" allUniqueName="[hca_departments].[department_id].[All]" dimensionUniqueName="[hca_departments]" displayFolder="" count="0" memberValueDatatype="20" unbalanced="0"/>
    <cacheHierarchy uniqueName="[hca_departments].[department_name]" caption="department_name" attribute="1" defaultMemberUniqueName="[hca_departments].[department_name].[All]" allUniqueName="[hca_departments].[department_name].[All]" dimensionUniqueName="[hca_departments]" displayFolder="" count="2" memberValueDatatype="130" unbalanced="0">
      <fieldsUsage count="2">
        <fieldUsage x="-1"/>
        <fieldUsage x="2"/>
      </fieldsUsage>
    </cacheHierarchy>
    <cacheHierarchy uniqueName="[hca_departments].[floor_no]" caption="floor_no" attribute="1" defaultMemberUniqueName="[hca_departments].[floor_no].[All]" allUniqueName="[hca_departments].[floor_no].[All]" dimensionUniqueName="[hca_departments]" displayFolder="" count="0" memberValueDatatype="20" unbalanced="0"/>
    <cacheHierarchy uniqueName="[hca_departments].[department_type]" caption="department_type" attribute="1" defaultMemberUniqueName="[hca_departments].[department_type].[All]" allUniqueName="[hca_departments].[department_type].[All]" dimensionUniqueName="[hca_departments]" displayFolder="" count="0" memberValueDatatype="130" unbalanced="0"/>
    <cacheHierarchy uniqueName="[hca_payments].[payment_id]" caption="payment_id" attribute="1" defaultMemberUniqueName="[hca_payments].[payment_id].[All]" allUniqueName="[hca_payments].[payment_id].[All]" dimensionUniqueName="[hca_payments]" displayFolder="" count="0" memberValueDatatype="20" unbalanced="0"/>
    <cacheHierarchy uniqueName="[hca_payments].[bill_id]" caption="bill_id" attribute="1" defaultMemberUniqueName="[hca_payments].[bill_id].[All]" allUniqueName="[hca_payments].[bill_id].[All]" dimensionUniqueName="[hca_payments]" displayFolder="" count="0" memberValueDatatype="20" unbalanced="0"/>
    <cacheHierarchy uniqueName="[hca_payments].[patient_id]" caption="patient_id" attribute="1" defaultMemberUniqueName="[hca_payments].[patient_id].[All]" allUniqueName="[hca_payments].[patient_id].[All]" dimensionUniqueName="[hca_payments]" displayFolder="" count="0" memberValueDatatype="20" unbalanced="0"/>
    <cacheHierarchy uniqueName="[hca_payments].[payment_date]" caption="payment_date" attribute="1" time="1" defaultMemberUniqueName="[hca_payments].[payment_date].[All]" allUniqueName="[hca_payments].[payment_date].[All]" dimensionUniqueName="[hca_payments]" displayFolder="" count="0" memberValueDatatype="7" unbalanced="0"/>
    <cacheHierarchy uniqueName="[hca_payments].[payment_amount]" caption="payment_amount" attribute="1" defaultMemberUniqueName="[hca_payments].[payment_amount].[All]" allUniqueName="[hca_payments].[payment_amount].[All]" dimensionUniqueName="[hca_payments]" displayFolder="" count="0" memberValueDatatype="20" unbalanced="0"/>
    <cacheHierarchy uniqueName="[hca_payments].[payment_method]" caption="payment_method" attribute="1" defaultMemberUniqueName="[hca_payments].[payment_method].[All]" allUniqueName="[hca_payments].[payment_method].[All]" dimensionUniqueName="[hca_payments]" displayFolder="" count="0" memberValueDatatype="130" unbalanced="0"/>
    <cacheHierarchy uniqueName="[hca_payments].[payment_status]" caption="payment_status" attribute="1" defaultMemberUniqueName="[hca_payments].[payment_status].[All]" allUniqueName="[hca_payments].[payment_status].[All]" dimensionUniqueName="[hca_payments]" displayFolder="" count="0" memberValueDatatype="130" unbalanced="0"/>
    <cacheHierarchy uniqueName="[Measures].[__XL_Count hca_bills]" caption="__XL_Count hca_bills" measure="1" displayFolder="" measureGroup="hca_bills" count="0" hidden="1"/>
    <cacheHierarchy uniqueName="[Measures].[__XL_Count hca_payments]" caption="__XL_Count hca_payments" measure="1" displayFolder="" measureGroup="hca_payments" count="0" hidden="1"/>
    <cacheHierarchy uniqueName="[Measures].[__XL_Count hca_admissions]" caption="__XL_Count hca_admissions" measure="1" displayFolder="" measureGroup="hca_admissions" count="0" hidden="1"/>
    <cacheHierarchy uniqueName="[Measures].[__XL_Count hca_departments]" caption="__XL_Count hca_departments" measure="1" displayFolder="" measureGroup="hca_departments" count="0" hidden="1"/>
    <cacheHierarchy uniqueName="[Measures].[__No measures defined]" caption="__No measures defined" measure="1" displayFolder="" count="0" hidden="1"/>
    <cacheHierarchy uniqueName="[Measures].[Sum of total_amount]" caption="Sum of total_amount" measure="1" displayFolder="" measureGroup="hca_bill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payment_amount]" caption="Sum of payment_amount" measure="1" displayFolder="" measureGroup="hca_payment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admission_id]" caption="Sum of admission_id" measure="1" displayFolder="" measureGroup="hca_admissions" count="0" hidden="1">
      <extLst>
        <ext xmlns:x15="http://schemas.microsoft.com/office/spreadsheetml/2010/11/main" uri="{B97F6D7D-B522-45F9-BDA1-12C45D357490}">
          <x15:cacheHierarchy aggregatedColumn="0"/>
        </ext>
      </extLst>
    </cacheHierarchy>
    <cacheHierarchy uniqueName="[Measures].[Count of admission_id]" caption="Count of admission_id" measure="1" displayFolder="" measureGroup="hca_admissions" count="0" hidden="1">
      <extLst>
        <ext xmlns:x15="http://schemas.microsoft.com/office/spreadsheetml/2010/11/main" uri="{B97F6D7D-B522-45F9-BDA1-12C45D357490}">
          <x15:cacheHierarchy aggregatedColumn="0"/>
        </ext>
      </extLst>
    </cacheHierarchy>
  </cacheHierarchies>
  <kpis count="0"/>
  <dimensions count="5">
    <dimension name="hca_admissions" uniqueName="[hca_admissions]" caption="hca_admissions"/>
    <dimension name="hca_bills" uniqueName="[hca_bills]" caption="hca_bills"/>
    <dimension name="hca_departments" uniqueName="[hca_departments]" caption="hca_departments"/>
    <dimension name="hca_payments" uniqueName="[hca_payments]" caption="hca_payments"/>
    <dimension measure="1" name="Measures" uniqueName="[Measures]" caption="Measures"/>
  </dimensions>
  <measureGroups count="4">
    <measureGroup name="hca_admissions" caption="hca_admissions"/>
    <measureGroup name="hca_bills" caption="hca_bills"/>
    <measureGroup name="hca_departments" caption="hca_departments"/>
    <measureGroup name="hca_payments" caption="hca_payments"/>
  </measureGroups>
  <maps count="7">
    <map measureGroup="0" dimension="0"/>
    <map measureGroup="0" dimension="2"/>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86.847914004633" backgroundQuery="1" createdVersion="3" refreshedVersion="6" minRefreshableVersion="3" recordCount="0" supportSubquery="1" supportAdvancedDrill="1" xr:uid="{37003091-5169-4663-997F-FB913A4DC4B9}">
  <cacheSource type="external" connectionId="13">
    <extLst>
      <ext xmlns:x14="http://schemas.microsoft.com/office/spreadsheetml/2009/9/main" uri="{F057638F-6D5F-4e77-A914-E7F072B9BCA8}">
        <x14:sourceConnection name="ThisWorkbookDataModel"/>
      </ext>
    </extLst>
  </cacheSource>
  <cacheFields count="0"/>
  <cacheHierarchies count="41">
    <cacheHierarchy uniqueName="[hca_admissions].[admission_id]" caption="admission_id" attribute="1" defaultMemberUniqueName="[hca_admissions].[admission_id].[All]" allUniqueName="[hca_admissions].[admission_id].[All]" dimensionUniqueName="[hca_admissions]" displayFolder="" count="0" memberValueDatatype="20" unbalanced="0"/>
    <cacheHierarchy uniqueName="[hca_admissions].[patient_id]" caption="patient_id" attribute="1" defaultMemberUniqueName="[hca_admissions].[patient_id].[All]" allUniqueName="[hca_admissions].[patient_id].[All]" dimensionUniqueName="[hca_admissions]" displayFolder="" count="0" memberValueDatatype="20" unbalanced="0"/>
    <cacheHierarchy uniqueName="[hca_admissions].[doctor_id]" caption="doctor_id" attribute="1" defaultMemberUniqueName="[hca_admissions].[doctor_id].[All]" allUniqueName="[hca_admissions].[doctor_id].[All]" dimensionUniqueName="[hca_admissions]" displayFolder="" count="0" memberValueDatatype="20" unbalanced="0"/>
    <cacheHierarchy uniqueName="[hca_admissions].[department_id]" caption="department_id" attribute="1" defaultMemberUniqueName="[hca_admissions].[department_id].[All]" allUniqueName="[hca_admissions].[department_id].[All]" dimensionUniqueName="[hca_admissions]" displayFolder="" count="0" memberValueDatatype="20" unbalanced="0"/>
    <cacheHierarchy uniqueName="[hca_admissions].[admission_date]" caption="admission_date" attribute="1" time="1" defaultMemberUniqueName="[hca_admissions].[admission_date].[All]" allUniqueName="[hca_admissions].[admission_date].[All]" dimensionUniqueName="[hca_admissions]" displayFolder="" count="0" memberValueDatatype="7" unbalanced="0"/>
    <cacheHierarchy uniqueName="[hca_admissions].[discharge_date]" caption="discharge_date" attribute="1" time="1" defaultMemberUniqueName="[hca_admissions].[discharge_date].[All]" allUniqueName="[hca_admissions].[discharge_date].[All]" dimensionUniqueName="[hca_admissions]" displayFolder="" count="0" memberValueDatatype="7" unbalanced="0"/>
    <cacheHierarchy uniqueName="[hca_admissions].[room_type]" caption="room_type" attribute="1" defaultMemberUniqueName="[hca_admissions].[room_type].[All]" allUniqueName="[hca_admissions].[room_type].[All]" dimensionUniqueName="[hca_admissions]" displayFolder="" count="0" memberValueDatatype="130" unbalanced="0"/>
    <cacheHierarchy uniqueName="[hca_admissions].[bed_number]" caption="bed_number" attribute="1" defaultMemberUniqueName="[hca_admissions].[bed_number].[All]" allUniqueName="[hca_admissions].[bed_number].[All]" dimensionUniqueName="[hca_admissions]" displayFolder="" count="0" memberValueDatatype="130" unbalanced="0"/>
    <cacheHierarchy uniqueName="[hca_admissions].[admission_type]" caption="admission_type" attribute="1" defaultMemberUniqueName="[hca_admissions].[admission_type].[All]" allUniqueName="[hca_admissions].[admission_type].[All]" dimensionUniqueName="[hca_admissions]" displayFolder="" count="2" memberValueDatatype="130" unbalanced="0"/>
    <cacheHierarchy uniqueName="[hca_admissions].[admission_status]" caption="admission_status" attribute="1" defaultMemberUniqueName="[hca_admissions].[admission_status].[All]" allUniqueName="[hca_admissions].[admission_status].[All]" dimensionUniqueName="[hca_admissions]" displayFolder="" count="0" memberValueDatatype="130" unbalanced="0"/>
    <cacheHierarchy uniqueName="[hca_bills].[bill_id]" caption="bill_id" attribute="1" defaultMemberUniqueName="[hca_bills].[bill_id].[All]" allUniqueName="[hca_bills].[bill_id].[All]" dimensionUniqueName="[hca_bills]" displayFolder="" count="0" memberValueDatatype="20" unbalanced="0"/>
    <cacheHierarchy uniqueName="[hca_bills].[patient_id]" caption="patient_id" attribute="1" defaultMemberUniqueName="[hca_bills].[patient_id].[All]" allUniqueName="[hca_bills].[patient_id].[All]" dimensionUniqueName="[hca_bills]" displayFolder="" count="0" memberValueDatatype="20" unbalanced="0"/>
    <cacheHierarchy uniqueName="[hca_bills].[admission_id]" caption="admission_id" attribute="1" defaultMemberUniqueName="[hca_bills].[admission_id].[All]" allUniqueName="[hca_bills].[admission_id].[All]" dimensionUniqueName="[hca_bills]" displayFolder="" count="0" memberValueDatatype="20" unbalanced="0"/>
    <cacheHierarchy uniqueName="[hca_bills].[bill_date]" caption="bill_date" attribute="1" time="1" defaultMemberUniqueName="[hca_bills].[bill_date].[All]" allUniqueName="[hca_bills].[bill_date].[All]" dimensionUniqueName="[hca_bills]" displayFolder="" count="0" memberValueDatatype="7" unbalanced="0"/>
    <cacheHierarchy uniqueName="[hca_bills].[consultation_charges]" caption="consultation_charges" attribute="1" defaultMemberUniqueName="[hca_bills].[consultation_charges].[All]" allUniqueName="[hca_bills].[consultation_charges].[All]" dimensionUniqueName="[hca_bills]" displayFolder="" count="0" memberValueDatatype="20" unbalanced="0"/>
    <cacheHierarchy uniqueName="[hca_bills].[medicine_charges]" caption="medicine_charges" attribute="1" defaultMemberUniqueName="[hca_bills].[medicine_charges].[All]" allUniqueName="[hca_bills].[medicine_charges].[All]" dimensionUniqueName="[hca_bills]" displayFolder="" count="0" memberValueDatatype="20" unbalanced="0"/>
    <cacheHierarchy uniqueName="[hca_bills].[lab_charges]" caption="lab_charges" attribute="1" defaultMemberUniqueName="[hca_bills].[lab_charges].[All]" allUniqueName="[hca_bills].[lab_charges].[All]" dimensionUniqueName="[hca_bills]" displayFolder="" count="0" memberValueDatatype="20" unbalanced="0"/>
    <cacheHierarchy uniqueName="[hca_bills].[room_charges]" caption="room_charges" attribute="1" defaultMemberUniqueName="[hca_bills].[room_charges].[All]" allUniqueName="[hca_bills].[room_charges].[All]" dimensionUniqueName="[hca_bills]" displayFolder="" count="0" memberValueDatatype="20" unbalanced="0"/>
    <cacheHierarchy uniqueName="[hca_bills].[treatment_charges]" caption="treatment_charges" attribute="1" defaultMemberUniqueName="[hca_bills].[treatment_charges].[All]" allUniqueName="[hca_bills].[treatment_charges].[All]" dimensionUniqueName="[hca_bills]" displayFolder="" count="0" memberValueDatatype="20" unbalanced="0"/>
    <cacheHierarchy uniqueName="[hca_bills].[total_amount]" caption="total_amount" attribute="1" defaultMemberUniqueName="[hca_bills].[total_amount].[All]" allUniqueName="[hca_bills].[total_amount].[All]" dimensionUniqueName="[hca_bills]" displayFolder="" count="0" memberValueDatatype="20" unbalanced="0"/>
    <cacheHierarchy uniqueName="[hca_bills].[bill_status]" caption="bill_status" attribute="1" defaultMemberUniqueName="[hca_bills].[bill_status].[All]" allUniqueName="[hca_bills].[bill_status].[All]" dimensionUniqueName="[hca_bills]" displayFolder="" count="0" memberValueDatatype="130" unbalanced="0"/>
    <cacheHierarchy uniqueName="[hca_departments].[department_id]" caption="department_id" attribute="1" defaultMemberUniqueName="[hca_departments].[department_id].[All]" allUniqueName="[hca_departments].[department_id].[All]" dimensionUniqueName="[hca_departments]" displayFolder="" count="0" memberValueDatatype="20" unbalanced="0"/>
    <cacheHierarchy uniqueName="[hca_departments].[department_name]" caption="department_name" attribute="1" defaultMemberUniqueName="[hca_departments].[department_name].[All]" allUniqueName="[hca_departments].[department_name].[All]" dimensionUniqueName="[hca_departments]" displayFolder="" count="2" memberValueDatatype="130" unbalanced="0"/>
    <cacheHierarchy uniqueName="[hca_departments].[floor_no]" caption="floor_no" attribute="1" defaultMemberUniqueName="[hca_departments].[floor_no].[All]" allUniqueName="[hca_departments].[floor_no].[All]" dimensionUniqueName="[hca_departments]" displayFolder="" count="0" memberValueDatatype="20" unbalanced="0"/>
    <cacheHierarchy uniqueName="[hca_departments].[department_type]" caption="department_type" attribute="1" defaultMemberUniqueName="[hca_departments].[department_type].[All]" allUniqueName="[hca_departments].[department_type].[All]" dimensionUniqueName="[hca_departments]" displayFolder="" count="0" memberValueDatatype="130" unbalanced="0"/>
    <cacheHierarchy uniqueName="[hca_payments].[payment_id]" caption="payment_id" attribute="1" defaultMemberUniqueName="[hca_payments].[payment_id].[All]" allUniqueName="[hca_payments].[payment_id].[All]" dimensionUniqueName="[hca_payments]" displayFolder="" count="0" memberValueDatatype="20" unbalanced="0"/>
    <cacheHierarchy uniqueName="[hca_payments].[bill_id]" caption="bill_id" attribute="1" defaultMemberUniqueName="[hca_payments].[bill_id].[All]" allUniqueName="[hca_payments].[bill_id].[All]" dimensionUniqueName="[hca_payments]" displayFolder="" count="0" memberValueDatatype="20" unbalanced="0"/>
    <cacheHierarchy uniqueName="[hca_payments].[patient_id]" caption="patient_id" attribute="1" defaultMemberUniqueName="[hca_payments].[patient_id].[All]" allUniqueName="[hca_payments].[patient_id].[All]" dimensionUniqueName="[hca_payments]" displayFolder="" count="0" memberValueDatatype="20" unbalanced="0"/>
    <cacheHierarchy uniqueName="[hca_payments].[payment_date]" caption="payment_date" attribute="1" time="1" defaultMemberUniqueName="[hca_payments].[payment_date].[All]" allUniqueName="[hca_payments].[payment_date].[All]" dimensionUniqueName="[hca_payments]" displayFolder="" count="0" memberValueDatatype="7" unbalanced="0"/>
    <cacheHierarchy uniqueName="[hca_payments].[payment_amount]" caption="payment_amount" attribute="1" defaultMemberUniqueName="[hca_payments].[payment_amount].[All]" allUniqueName="[hca_payments].[payment_amount].[All]" dimensionUniqueName="[hca_payments]" displayFolder="" count="0" memberValueDatatype="20" unbalanced="0"/>
    <cacheHierarchy uniqueName="[hca_payments].[payment_method]" caption="payment_method" attribute="1" defaultMemberUniqueName="[hca_payments].[payment_method].[All]" allUniqueName="[hca_payments].[payment_method].[All]" dimensionUniqueName="[hca_payments]" displayFolder="" count="0" memberValueDatatype="130" unbalanced="0"/>
    <cacheHierarchy uniqueName="[hca_payments].[payment_status]" caption="payment_status" attribute="1" defaultMemberUniqueName="[hca_payments].[payment_status].[All]" allUniqueName="[hca_payments].[payment_status].[All]" dimensionUniqueName="[hca_payments]" displayFolder="" count="0" memberValueDatatype="130" unbalanced="0"/>
    <cacheHierarchy uniqueName="[Measures].[__XL_Count hca_bills]" caption="__XL_Count hca_bills" measure="1" displayFolder="" measureGroup="hca_bills" count="0" hidden="1"/>
    <cacheHierarchy uniqueName="[Measures].[__XL_Count hca_payments]" caption="__XL_Count hca_payments" measure="1" displayFolder="" measureGroup="hca_payments" count="0" hidden="1"/>
    <cacheHierarchy uniqueName="[Measures].[__XL_Count hca_admissions]" caption="__XL_Count hca_admissions" measure="1" displayFolder="" measureGroup="hca_admissions" count="0" hidden="1"/>
    <cacheHierarchy uniqueName="[Measures].[__XL_Count hca_departments]" caption="__XL_Count hca_departments" measure="1" displayFolder="" measureGroup="hca_departments" count="0" hidden="1"/>
    <cacheHierarchy uniqueName="[Measures].[__No measures defined]" caption="__No measures defined" measure="1" displayFolder="" count="0" hidden="1"/>
    <cacheHierarchy uniqueName="[Measures].[Sum of total_amount]" caption="Sum of total_amount" measure="1" displayFolder="" measureGroup="hca_bills" count="0" hidden="1">
      <extLst>
        <ext xmlns:x15="http://schemas.microsoft.com/office/spreadsheetml/2010/11/main" uri="{B97F6D7D-B522-45F9-BDA1-12C45D357490}">
          <x15:cacheHierarchy aggregatedColumn="19"/>
        </ext>
      </extLst>
    </cacheHierarchy>
    <cacheHierarchy uniqueName="[Measures].[Sum of payment_amount]" caption="Sum of payment_amount" measure="1" displayFolder="" measureGroup="hca_payments" count="0" hidden="1">
      <extLst>
        <ext xmlns:x15="http://schemas.microsoft.com/office/spreadsheetml/2010/11/main" uri="{B97F6D7D-B522-45F9-BDA1-12C45D357490}">
          <x15:cacheHierarchy aggregatedColumn="29"/>
        </ext>
      </extLst>
    </cacheHierarchy>
    <cacheHierarchy uniqueName="[Measures].[Sum of admission_id]" caption="Sum of admission_id" measure="1" displayFolder="" measureGroup="hca_admissions" count="0" hidden="1">
      <extLst>
        <ext xmlns:x15="http://schemas.microsoft.com/office/spreadsheetml/2010/11/main" uri="{B97F6D7D-B522-45F9-BDA1-12C45D357490}">
          <x15:cacheHierarchy aggregatedColumn="0"/>
        </ext>
      </extLst>
    </cacheHierarchy>
    <cacheHierarchy uniqueName="[Measures].[Count of admission_id]" caption="Count of admission_id" measure="1" displayFolder="" measureGroup="hca_admission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91077355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r>
  <r>
    <n v="2"/>
  </r>
  <r>
    <n v="3"/>
  </r>
  <r>
    <n v="4"/>
  </r>
  <r>
    <n v="5"/>
  </r>
  <r>
    <n v="6"/>
  </r>
  <r>
    <n v="7"/>
  </r>
  <r>
    <n v="8"/>
  </r>
  <r>
    <n v="9"/>
  </r>
  <r>
    <n v="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r>
  <r>
    <n v="2"/>
  </r>
  <r>
    <n v="3"/>
  </r>
  <r>
    <n v="4"/>
  </r>
  <r>
    <n v="5"/>
  </r>
  <r>
    <n v="6"/>
  </r>
  <r>
    <n v="7"/>
  </r>
  <r>
    <n v="8"/>
  </r>
  <r>
    <n v="9"/>
  </r>
  <r>
    <n v="10"/>
  </r>
  <r>
    <n v="11"/>
  </r>
  <r>
    <n v="12"/>
  </r>
  <r>
    <n v="13"/>
  </r>
  <r>
    <n v="14"/>
  </r>
  <r>
    <n v="15"/>
  </r>
  <r>
    <n v="16"/>
  </r>
  <r>
    <n v="17"/>
  </r>
  <r>
    <n v="18"/>
  </r>
  <r>
    <n v="19"/>
  </r>
  <r>
    <n v="2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r>
  <r>
    <n v="2"/>
  </r>
  <r>
    <n v="3"/>
  </r>
  <r>
    <n v="4"/>
  </r>
  <r>
    <n v="5"/>
  </r>
  <r>
    <n v="6"/>
  </r>
  <r>
    <n v="7"/>
  </r>
  <r>
    <n v="8"/>
  </r>
  <r>
    <n v="9"/>
  </r>
  <r>
    <n v="1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r>
  <r>
    <n v="2"/>
  </r>
  <r>
    <n v="3"/>
  </r>
  <r>
    <n v="4"/>
  </r>
  <r>
    <n v="5"/>
  </r>
  <r>
    <n v="6"/>
  </r>
  <r>
    <n v="7"/>
  </r>
  <r>
    <n v="8"/>
  </r>
  <r>
    <n v="9"/>
  </r>
  <r>
    <n v="1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r>
  <r>
    <n v="2"/>
  </r>
  <r>
    <n v="3"/>
  </r>
  <r>
    <n v="4"/>
  </r>
  <r>
    <n v="5"/>
  </r>
  <r>
    <n v="6"/>
  </r>
  <r>
    <n v="7"/>
  </r>
  <r>
    <n v="8"/>
  </r>
  <r>
    <n v="9"/>
  </r>
  <r>
    <n v="10"/>
  </r>
  <r>
    <n v="11"/>
  </r>
  <r>
    <n v="12"/>
  </r>
  <r>
    <n v="13"/>
  </r>
  <r>
    <n v="14"/>
  </r>
  <r>
    <n v="15"/>
  </r>
  <r>
    <n v="16"/>
  </r>
  <r>
    <n v="17"/>
  </r>
  <r>
    <n v="18"/>
  </r>
  <r>
    <n v="19"/>
  </r>
  <r>
    <n v="20"/>
  </r>
  <r>
    <n v="21"/>
  </r>
  <r>
    <n v="22"/>
  </r>
  <r>
    <n v="23"/>
  </r>
  <r>
    <n v="24"/>
  </r>
  <r>
    <n v="25"/>
  </r>
  <r>
    <n v="26"/>
  </r>
  <r>
    <n v="27"/>
  </r>
  <r>
    <n v="28"/>
  </r>
  <r>
    <n v="29"/>
  </r>
  <r>
    <n v="30"/>
  </r>
  <r>
    <n v="31"/>
  </r>
  <r>
    <n v="32"/>
  </r>
  <r>
    <n v="33"/>
  </r>
  <r>
    <n v="34"/>
  </r>
  <r>
    <n v="35"/>
  </r>
  <r>
    <n v="36"/>
  </r>
  <r>
    <n v="37"/>
  </r>
  <r>
    <n v="38"/>
  </r>
  <r>
    <n v="39"/>
  </r>
  <r>
    <n v="40"/>
  </r>
  <r>
    <n v="41"/>
  </r>
  <r>
    <n v="42"/>
  </r>
  <r>
    <n v="43"/>
  </r>
  <r>
    <n v="44"/>
  </r>
  <r>
    <n v="45"/>
  </r>
  <r>
    <n v="46"/>
  </r>
  <r>
    <n v="47"/>
  </r>
  <r>
    <n v="48"/>
  </r>
  <r>
    <n v="49"/>
  </r>
  <r>
    <n v="5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2400"/>
  </r>
  <r>
    <n v="14400"/>
  </r>
  <r>
    <n v="16500"/>
  </r>
  <r>
    <n v="9700"/>
  </r>
  <r>
    <n v="12800"/>
  </r>
  <r>
    <n v="13000"/>
  </r>
  <r>
    <n v="16500"/>
  </r>
  <r>
    <n v="10200"/>
  </r>
  <r>
    <n v="12100"/>
  </r>
  <r>
    <n v="1450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r>
  <r>
    <x v="1"/>
  </r>
  <r>
    <x v="2"/>
  </r>
  <r>
    <x v="3"/>
  </r>
  <r>
    <x v="4"/>
  </r>
  <r>
    <x v="5"/>
  </r>
  <r>
    <x v="2"/>
  </r>
  <r>
    <x v="6"/>
  </r>
  <r>
    <x v="7"/>
  </r>
  <r>
    <x v="8"/>
  </r>
  <r>
    <x v="9"/>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s v="Aarav Sharma"/>
    <x v="0"/>
    <n v="32"/>
    <s v="Noida"/>
    <s v="B+"/>
    <d v="2026-01-05T00:00:00"/>
    <n v="1"/>
  </r>
  <r>
    <n v="2"/>
    <s v="Ananya Gupta"/>
    <x v="1"/>
    <n v="28"/>
    <s v="Delhi"/>
    <s v="O+"/>
    <d v="2026-01-06T00:00:00"/>
    <n v="2"/>
  </r>
  <r>
    <n v="3"/>
    <s v="Rohan Verma"/>
    <x v="0"/>
    <n v="45"/>
    <s v="Ghaziabad"/>
    <s v="A+"/>
    <d v="2026-01-08T00:00:00"/>
    <n v="3"/>
  </r>
  <r>
    <n v="4"/>
    <s v="Priya Singh"/>
    <x v="1"/>
    <n v="35"/>
    <s v="Noida"/>
    <s v="AB+"/>
    <d v="2026-01-10T00:00:00"/>
    <n v="4"/>
  </r>
  <r>
    <n v="5"/>
    <s v="Rahul Kumar"/>
    <x v="0"/>
    <n v="52"/>
    <s v="Delhi"/>
    <s v="B+"/>
    <d v="2026-01-12T00:00:00"/>
    <n v="5"/>
  </r>
  <r>
    <n v="6"/>
    <s v="Sneha Sharma"/>
    <x v="1"/>
    <n v="24"/>
    <s v="Greater Noida"/>
    <s v="O+"/>
    <d v="2026-01-15T00:00:00"/>
    <n v="6"/>
  </r>
  <r>
    <n v="7"/>
    <s v="Aditya Mehta"/>
    <x v="0"/>
    <n v="39"/>
    <s v="Noida"/>
    <s v="A-"/>
    <d v="2026-01-17T00:00:00"/>
    <n v="7"/>
  </r>
  <r>
    <n v="8"/>
    <s v="Kavya Agarwal"/>
    <x v="1"/>
    <n v="31"/>
    <s v="Ghaziabad"/>
    <s v="B+"/>
    <d v="2026-01-20T00:00:00"/>
    <n v="8"/>
  </r>
  <r>
    <n v="9"/>
    <s v="Vivek Kapoor"/>
    <x v="0"/>
    <n v="61"/>
    <s v="Delhi"/>
    <s v="O-"/>
    <d v="2026-01-22T00:00:00"/>
    <n v="9"/>
  </r>
  <r>
    <n v="10"/>
    <s v="Neha Verma"/>
    <x v="1"/>
    <n v="42"/>
    <s v="Noida"/>
    <s v="A+"/>
    <d v="2026-01-25T00:00:00"/>
    <n v="10"/>
  </r>
  <r>
    <n v="11"/>
    <s v="Arjun Malhotra"/>
    <x v="0"/>
    <n v="29"/>
    <s v="Noida"/>
    <s v="B+"/>
    <d v="2026-01-28T00:00:00"/>
    <n v="1"/>
  </r>
  <r>
    <n v="12"/>
    <s v="Pooja Gupta"/>
    <x v="1"/>
    <n v="37"/>
    <s v="Delhi"/>
    <s v="O+"/>
    <d v="2026-02-01T00:00:00"/>
    <n v="2"/>
  </r>
  <r>
    <n v="13"/>
    <s v="Kunal Sharma"/>
    <x v="0"/>
    <n v="48"/>
    <s v="Ghaziabad"/>
    <s v="A+"/>
    <d v="2026-02-03T00:00:00"/>
    <n v="3"/>
  </r>
  <r>
    <n v="14"/>
    <s v="Simran Kaur"/>
    <x v="1"/>
    <n v="26"/>
    <s v="Noida"/>
    <s v="B-"/>
    <d v="2026-02-05T00:00:00"/>
    <n v="4"/>
  </r>
  <r>
    <n v="15"/>
    <s v="Manish Arora"/>
    <x v="0"/>
    <n v="55"/>
    <s v="Delhi"/>
    <s v="AB+"/>
    <d v="2026-02-07T00:00:00"/>
    <n v="5"/>
  </r>
  <r>
    <n v="16"/>
    <s v="Riya Mehta"/>
    <x v="1"/>
    <n v="30"/>
    <s v="Greater Noida"/>
    <s v="O+"/>
    <d v="2026-02-09T00:00:00"/>
    <n v="6"/>
  </r>
  <r>
    <n v="17"/>
    <s v="Nitin Kumar"/>
    <x v="0"/>
    <n v="44"/>
    <s v="Noida"/>
    <s v="A+"/>
    <d v="2026-02-11T00:00:00"/>
    <n v="7"/>
  </r>
  <r>
    <n v="18"/>
    <s v="Isha Singh"/>
    <x v="1"/>
    <n v="22"/>
    <s v="Ghaziabad"/>
    <s v="B+"/>
    <d v="2026-02-13T00:00:00"/>
    <n v="8"/>
  </r>
  <r>
    <n v="19"/>
    <s v="Varun Gupta"/>
    <x v="0"/>
    <n v="67"/>
    <s v="Delhi"/>
    <s v="O+"/>
    <d v="2026-02-15T00:00:00"/>
    <n v="9"/>
  </r>
  <r>
    <n v="20"/>
    <s v="Shreya Kapoor"/>
    <x v="1"/>
    <n v="33"/>
    <s v="Noida"/>
    <s v="AB+"/>
    <d v="2026-02-18T00:00:00"/>
    <n v="10"/>
  </r>
  <r>
    <n v="21"/>
    <s v="Mohit Sharma"/>
    <x v="0"/>
    <n v="41"/>
    <s v="Noida"/>
    <s v="B+"/>
    <d v="2026-02-20T00:00:00"/>
    <n v="1"/>
  </r>
  <r>
    <n v="22"/>
    <s v="Nisha Verma"/>
    <x v="1"/>
    <n v="29"/>
    <s v="Delhi"/>
    <s v="O+"/>
    <d v="2026-02-22T00:00:00"/>
    <n v="2"/>
  </r>
  <r>
    <n v="23"/>
    <s v="Deepak Singh"/>
    <x v="0"/>
    <n v="58"/>
    <s v="Ghaziabad"/>
    <s v="A+"/>
    <d v="2026-02-24T00:00:00"/>
    <n v="3"/>
  </r>
  <r>
    <n v="24"/>
    <s v="Aditi Gupta"/>
    <x v="1"/>
    <n v="36"/>
    <s v="Noida"/>
    <s v="B+"/>
    <d v="2026-02-26T00:00:00"/>
    <n v="4"/>
  </r>
  <r>
    <n v="25"/>
    <s v="Saurabh Kumar"/>
    <x v="0"/>
    <n v="47"/>
    <s v="Delhi"/>
    <s v="O-"/>
    <d v="2026-03-01T00:00:00"/>
    <n v="5"/>
  </r>
  <r>
    <n v="26"/>
    <s v="Tanya Mehta"/>
    <x v="1"/>
    <n v="25"/>
    <s v="Greater Noida"/>
    <s v="A+"/>
    <d v="2026-03-03T00:00:00"/>
    <n v="6"/>
  </r>
  <r>
    <n v="27"/>
    <s v="Harsh Agarwal"/>
    <x v="0"/>
    <n v="34"/>
    <s v="Noida"/>
    <s v="B+"/>
    <d v="2026-03-05T00:00:00"/>
    <n v="7"/>
  </r>
  <r>
    <n v="28"/>
    <s v="Muskan Sharma"/>
    <x v="1"/>
    <n v="40"/>
    <s v="Ghaziabad"/>
    <s v="O+"/>
    <d v="2026-03-07T00:00:00"/>
    <n v="8"/>
  </r>
  <r>
    <n v="29"/>
    <s v="Akash Verma"/>
    <x v="0"/>
    <n v="63"/>
    <s v="Delhi"/>
    <s v="AB+"/>
    <d v="2026-03-09T00:00:00"/>
    <n v="9"/>
  </r>
  <r>
    <n v="30"/>
    <s v="Komal Singh"/>
    <x v="1"/>
    <n v="27"/>
    <s v="Noida"/>
    <s v="A+"/>
    <d v="2026-03-11T00:00:00"/>
    <n v="10"/>
  </r>
  <r>
    <n v="31"/>
    <s v="Yash Kapoor"/>
    <x v="0"/>
    <n v="38"/>
    <s v="Noida"/>
    <s v="B+"/>
    <d v="2026-03-13T00:00:00"/>
    <n v="1"/>
  </r>
  <r>
    <n v="32"/>
    <s v="Nandini Gupta"/>
    <x v="1"/>
    <n v="45"/>
    <s v="Delhi"/>
    <s v="O+"/>
    <d v="2026-03-15T00:00:00"/>
    <n v="2"/>
  </r>
  <r>
    <n v="33"/>
    <s v="Abhishek Sharma"/>
    <x v="0"/>
    <n v="51"/>
    <s v="Ghaziabad"/>
    <s v="A+"/>
    <d v="2026-03-17T00:00:00"/>
    <n v="3"/>
  </r>
  <r>
    <n v="34"/>
    <s v="Sakshi Mehta"/>
    <x v="1"/>
    <n v="32"/>
    <s v="Noida"/>
    <s v="B-"/>
    <d v="2026-03-19T00:00:00"/>
    <n v="4"/>
  </r>
  <r>
    <n v="35"/>
    <s v="Gaurav Kumar"/>
    <x v="0"/>
    <n v="60"/>
    <s v="Delhi"/>
    <s v="O+"/>
    <d v="2026-03-21T00:00:00"/>
    <n v="5"/>
  </r>
  <r>
    <n v="36"/>
    <s v="Ritika Singh"/>
    <x v="1"/>
    <n v="28"/>
    <s v="Greater Noida"/>
    <s v="A+"/>
    <d v="2026-03-23T00:00:00"/>
    <n v="6"/>
  </r>
  <r>
    <n v="37"/>
    <s v="Aman Gupta"/>
    <x v="0"/>
    <n v="43"/>
    <s v="Noida"/>
    <s v="B+"/>
    <d v="2026-03-25T00:00:00"/>
    <n v="7"/>
  </r>
  <r>
    <n v="38"/>
    <s v="Shalini Verma"/>
    <x v="1"/>
    <n v="39"/>
    <s v="Ghaziabad"/>
    <s v="O+"/>
    <d v="2026-03-27T00:00:00"/>
    <n v="8"/>
  </r>
  <r>
    <n v="39"/>
    <s v="Rakesh Arora"/>
    <x v="0"/>
    <n v="56"/>
    <s v="Delhi"/>
    <s v="A+"/>
    <d v="2026-03-29T00:00:00"/>
    <n v="9"/>
  </r>
  <r>
    <n v="40"/>
    <s v="Pallavi Sharma"/>
    <x v="1"/>
    <n v="34"/>
    <s v="Noida"/>
    <s v="AB+"/>
    <d v="2026-03-31T00:00:00"/>
    <n v="10"/>
  </r>
  <r>
    <n v="41"/>
    <s v="Ravi Mehta"/>
    <x v="0"/>
    <n v="49"/>
    <s v="Noida"/>
    <s v="B+"/>
    <d v="2026-04-02T00:00:00"/>
    <n v="1"/>
  </r>
  <r>
    <n v="42"/>
    <s v="Swati Gupta"/>
    <x v="1"/>
    <n v="23"/>
    <s v="Delhi"/>
    <s v="O+"/>
    <d v="2026-04-04T00:00:00"/>
    <n v="2"/>
  </r>
  <r>
    <n v="43"/>
    <s v="Tarun Singh"/>
    <x v="0"/>
    <n v="36"/>
    <s v="Ghaziabad"/>
    <s v="A+"/>
    <d v="2026-04-06T00:00:00"/>
    <n v="3"/>
  </r>
  <r>
    <n v="44"/>
    <s v="Megha Kapoor"/>
    <x v="1"/>
    <n v="41"/>
    <s v="Noida"/>
    <s v="B+"/>
    <d v="2026-04-08T00:00:00"/>
    <n v="4"/>
  </r>
  <r>
    <n v="45"/>
    <s v="Sachin Verma"/>
    <x v="0"/>
    <n v="65"/>
    <s v="Delhi"/>
    <s v="O-"/>
    <d v="2026-04-10T00:00:00"/>
    <n v="5"/>
  </r>
  <r>
    <n v="46"/>
    <s v="Divya Sharma"/>
    <x v="1"/>
    <n v="30"/>
    <s v="Greater Noida"/>
    <s v="A+"/>
    <d v="2026-04-12T00:00:00"/>
    <n v="6"/>
  </r>
  <r>
    <n v="47"/>
    <s v="Rishabh Kumar"/>
    <x v="0"/>
    <n v="46"/>
    <s v="Noida"/>
    <s v="B+"/>
    <d v="2026-04-14T00:00:00"/>
    <n v="7"/>
  </r>
  <r>
    <n v="48"/>
    <s v="Payal Singh"/>
    <x v="1"/>
    <n v="37"/>
    <s v="Ghaziabad"/>
    <s v="O+"/>
    <d v="2026-04-16T00:00:00"/>
    <n v="8"/>
  </r>
  <r>
    <n v="49"/>
    <s v="Ashish Gupta"/>
    <x v="0"/>
    <n v="53"/>
    <s v="Delhi"/>
    <s v="AB+"/>
    <d v="2026-04-18T00:00:00"/>
    <n v="9"/>
  </r>
  <r>
    <n v="50"/>
    <s v="Monika Mehta"/>
    <x v="1"/>
    <n v="29"/>
    <s v="Noida"/>
    <s v="A+"/>
    <d v="2026-04-20T00:00:00"/>
    <n v="1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n v="1"/>
    <n v="1"/>
    <n v="1"/>
    <d v="2026-01-10T00:00:00"/>
    <s v="Consultation"/>
    <x v="0"/>
  </r>
  <r>
    <n v="2"/>
    <n v="2"/>
    <n v="2"/>
    <n v="2"/>
    <d v="2026-01-11T00:00:00"/>
    <s v="Consultation"/>
    <x v="0"/>
  </r>
  <r>
    <n v="3"/>
    <n v="3"/>
    <n v="3"/>
    <n v="3"/>
    <d v="2026-01-12T00:00:00"/>
    <s v="Follow-up"/>
    <x v="0"/>
  </r>
  <r>
    <n v="4"/>
    <n v="4"/>
    <n v="4"/>
    <n v="4"/>
    <d v="2026-01-13T00:00:00"/>
    <s v="Consultation"/>
    <x v="0"/>
  </r>
  <r>
    <n v="5"/>
    <n v="5"/>
    <n v="5"/>
    <n v="5"/>
    <d v="2026-01-15T00:00:00"/>
    <s v="Consultation"/>
    <x v="0"/>
  </r>
  <r>
    <n v="6"/>
    <n v="6"/>
    <n v="6"/>
    <n v="6"/>
    <d v="2026-01-16T00:00:00"/>
    <s v="Consultation"/>
    <x v="1"/>
  </r>
  <r>
    <n v="7"/>
    <n v="7"/>
    <n v="7"/>
    <n v="7"/>
    <d v="2026-01-18T00:00:00"/>
    <s v="Consultation"/>
    <x v="0"/>
  </r>
  <r>
    <n v="8"/>
    <n v="8"/>
    <n v="8"/>
    <n v="8"/>
    <d v="2026-01-20T00:00:00"/>
    <s v="Follow-up"/>
    <x v="0"/>
  </r>
  <r>
    <n v="9"/>
    <n v="9"/>
    <n v="9"/>
    <n v="9"/>
    <d v="2026-01-21T00:00:00"/>
    <s v="Consultation"/>
    <x v="0"/>
  </r>
  <r>
    <n v="10"/>
    <n v="10"/>
    <n v="10"/>
    <n v="10"/>
    <d v="2026-01-22T00:00:00"/>
    <s v="Consultation"/>
    <x v="0"/>
  </r>
  <r>
    <n v="11"/>
    <n v="11"/>
    <n v="1"/>
    <n v="1"/>
    <d v="2026-01-25T00:00:00"/>
    <s v="Follow-up"/>
    <x v="0"/>
  </r>
  <r>
    <n v="12"/>
    <n v="12"/>
    <n v="2"/>
    <n v="2"/>
    <d v="2026-01-27T00:00:00"/>
    <s v="Consultation"/>
    <x v="0"/>
  </r>
  <r>
    <n v="13"/>
    <n v="13"/>
    <n v="3"/>
    <n v="3"/>
    <d v="2026-01-29T00:00:00"/>
    <s v="Consultation"/>
    <x v="1"/>
  </r>
  <r>
    <n v="14"/>
    <n v="14"/>
    <n v="4"/>
    <n v="4"/>
    <d v="2026-02-01T00:00:00"/>
    <s v="Consultation"/>
    <x v="0"/>
  </r>
  <r>
    <n v="15"/>
    <n v="15"/>
    <n v="5"/>
    <n v="5"/>
    <d v="2026-02-03T00:00:00"/>
    <s v="Follow-up"/>
    <x v="0"/>
  </r>
  <r>
    <n v="16"/>
    <n v="16"/>
    <n v="6"/>
    <n v="6"/>
    <d v="2026-02-05T00:00:00"/>
    <s v="Consultation"/>
    <x v="0"/>
  </r>
  <r>
    <n v="17"/>
    <n v="17"/>
    <n v="7"/>
    <n v="7"/>
    <d v="2026-02-07T00:00:00"/>
    <s v="Consultation"/>
    <x v="0"/>
  </r>
  <r>
    <n v="18"/>
    <n v="18"/>
    <n v="8"/>
    <n v="8"/>
    <d v="2026-02-09T00:00:00"/>
    <s v="Consultation"/>
    <x v="0"/>
  </r>
  <r>
    <n v="19"/>
    <n v="19"/>
    <n v="9"/>
    <n v="9"/>
    <d v="2026-02-11T00:00:00"/>
    <s v="Follow-up"/>
    <x v="0"/>
  </r>
  <r>
    <n v="20"/>
    <n v="20"/>
    <n v="10"/>
    <n v="10"/>
    <d v="2026-02-13T00:00:00"/>
    <s v="Consultation"/>
    <x v="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n v="1"/>
    <n v="1"/>
    <n v="1"/>
    <d v="2026-01-10T00:00:00"/>
    <d v="2026-01-14T00:00:00"/>
    <s v="Private"/>
    <s v="A101"/>
    <s v="Emergency"/>
    <s v="Discharged"/>
  </r>
  <r>
    <n v="2"/>
    <n v="3"/>
    <n v="3"/>
    <n v="3"/>
    <d v="2026-01-12T00:00:00"/>
    <d v="2026-01-17T00:00:00"/>
    <s v="Semi-Private"/>
    <s v="B202"/>
    <s v="Planned"/>
    <s v="Discharged"/>
  </r>
  <r>
    <n v="3"/>
    <n v="5"/>
    <n v="5"/>
    <n v="5"/>
    <d v="2026-01-15T00:00:00"/>
    <d v="2026-01-20T00:00:00"/>
    <s v="Private"/>
    <s v="C301"/>
    <s v="Emergency"/>
    <s v="Discharged"/>
  </r>
  <r>
    <n v="4"/>
    <n v="7"/>
    <n v="7"/>
    <n v="7"/>
    <d v="2026-01-18T00:00:00"/>
    <d v="2026-01-20T00:00:00"/>
    <s v="General"/>
    <s v="D101"/>
    <s v="Planned"/>
    <s v="Discharged"/>
  </r>
  <r>
    <n v="5"/>
    <n v="9"/>
    <n v="9"/>
    <n v="9"/>
    <d v="2026-01-22T00:00:00"/>
    <d v="2026-01-27T00:00:00"/>
    <s v="Private"/>
    <s v="E201"/>
    <s v="Emergency"/>
    <s v="Discharged"/>
  </r>
  <r>
    <n v="6"/>
    <n v="12"/>
    <n v="2"/>
    <n v="2"/>
    <d v="2026-02-01T00:00:00"/>
    <d v="2026-02-04T00:00:00"/>
    <s v="Private"/>
    <s v="F101"/>
    <s v="Planned"/>
    <s v="Discharged"/>
  </r>
  <r>
    <n v="7"/>
    <n v="15"/>
    <n v="5"/>
    <n v="5"/>
    <d v="2026-02-07T00:00:00"/>
    <d v="2026-02-12T00:00:00"/>
    <s v="Semi-Private"/>
    <s v="C302"/>
    <s v="Emergency"/>
    <s v="Discharged"/>
  </r>
  <r>
    <n v="8"/>
    <n v="17"/>
    <n v="7"/>
    <n v="7"/>
    <d v="2026-02-11T00:00:00"/>
    <d v="2026-02-14T00:00:00"/>
    <s v="General"/>
    <s v="D102"/>
    <s v="Planned"/>
    <s v="Discharged"/>
  </r>
  <r>
    <n v="9"/>
    <n v="19"/>
    <n v="9"/>
    <n v="9"/>
    <d v="2026-02-15T00:00:00"/>
    <d v="2026-02-19T00:00:00"/>
    <s v="Private"/>
    <s v="E202"/>
    <s v="Emergency"/>
    <s v="Discharged"/>
  </r>
  <r>
    <n v="10"/>
    <n v="21"/>
    <n v="1"/>
    <n v="1"/>
    <d v="2026-02-20T00:00:00"/>
    <d v="2026-02-25T00:00:00"/>
    <s v="Private"/>
    <s v="A102"/>
    <s v="Planned"/>
    <s v="Discharg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4D9EC3-2F43-4EDF-8D75-341D876A3E5C}" name="PivotTable17" cacheId="8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5:H6"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Total Payment" fld="0" baseField="0" baseItem="1"/>
    <dataField name="Total Revenue" fld="1" baseField="0" baseItem="1"/>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caption="Total Payment"/>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ca_payments]"/>
        <x15:activeTabTopLevelEntity name="[hca_b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543798-9104-428F-894F-3B9CE376B0A7}" name="PivotTable15" cacheId="8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E17:F2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ayment_amount" fld="1"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ca_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76622B-8885-468F-814A-876494FA117B}" name="PivotTable14" cacheId="7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B18:C25"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total_amount"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ca_departments]"/>
        <x15:activeTabTopLevelEntity name="[hca_b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8E4FA1-5BC8-4F7D-BAB0-112F3AFCA3B1}" name="PivotTable13" cacheId="8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admission_id" fld="1" subtotal="count" baseField="0" baseItem="0"/>
  </dataFields>
  <chartFormats count="1">
    <chartFormat chart="2" format="3"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admission_id"/>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ca_admissions]"/>
        <x15:activeTabTopLevelEntity name="[hca_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230496-A780-4CA3-9FFA-2D65DACC398E}"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A5" firstHeaderRow="1" firstDataRow="1" firstDataCol="0"/>
  <pivotFields count="1">
    <pivotField dataField="1" showAll="0"/>
  </pivotFields>
  <rowItems count="1">
    <i/>
  </rowItems>
  <colItems count="1">
    <i/>
  </colItems>
  <dataFields count="1">
    <dataField name="Total Doctors" fld="0" subtotal="count" baseField="0" baseItem="105444808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39C58F-E6DA-442B-B68F-3345F21F7F37}" name="PivotTable6"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6:A17" firstHeaderRow="1" firstDataRow="1" firstDataCol="0"/>
  <pivotFields count="1">
    <pivotField dataField="1" showAll="0"/>
  </pivotFields>
  <rowItems count="1">
    <i/>
  </rowItems>
  <colItems count="1">
    <i/>
  </colItems>
  <dataFields count="1">
    <dataField name="Total Revenue" fld="0" baseField="0" baseItem="192909154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C8FBFF-4457-485D-AC4D-0842CFC50B5A}" name="PivotTable12"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8:I25" firstHeaderRow="1" firstDataRow="1" firstDataCol="0"/>
  <pivotFields count="10">
    <pivotField showAll="0"/>
    <pivotField showAll="0"/>
    <pivotField showAll="0"/>
    <pivotField showAll="0"/>
    <pivotField numFmtId="22" showAll="0"/>
    <pivotField numFmtId="22"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05541A-82C2-496A-9325-9FD7BD7C61A7}"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A2" firstHeaderRow="1" firstDataRow="1" firstDataCol="0"/>
  <pivotFields count="1">
    <pivotField dataField="1" showAll="0"/>
  </pivotFields>
  <rowItems count="1">
    <i/>
  </rowItems>
  <colItems count="1">
    <i/>
  </colItems>
  <dataFields count="1">
    <dataField name="Total Patients" fld="0" subtotal="count" baseField="0" baseItem="81455444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23078C-4517-402E-8198-B06099735543}" name="PivotTable1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18:E21" firstHeaderRow="1" firstDataRow="1" firstDataCol="1"/>
  <pivotFields count="7">
    <pivotField dataField="1" showAll="0"/>
    <pivotField showAll="0"/>
    <pivotField showAll="0"/>
    <pivotField showAll="0"/>
    <pivotField numFmtId="22" showAll="0"/>
    <pivotField showAll="0"/>
    <pivotField axis="axisRow" showAll="0">
      <items count="3">
        <item x="1"/>
        <item x="0"/>
        <item t="default"/>
      </items>
    </pivotField>
  </pivotFields>
  <rowFields count="1">
    <field x="6"/>
  </rowFields>
  <rowItems count="3">
    <i>
      <x/>
    </i>
    <i>
      <x v="1"/>
    </i>
    <i t="grand">
      <x/>
    </i>
  </rowItems>
  <colItems count="1">
    <i/>
  </colItems>
  <dataFields count="1">
    <dataField name="Count of appointment_id" fld="0" subtotal="count" baseField="6"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21F320-703B-4F04-A4C6-6C8507C684FF}" name="PivotTable8" cacheId="9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C2:D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Total Revenue" fld="0" baseField="0" baseItem="1"/>
    <dataField name="Total Amount" fld="1" baseField="0" baseItem="1"/>
  </dataField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caption="Total Amount"/>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hca_bills]"/>
        <x15:activeTabTopLevelEntity name="[hca_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FA3692-68F4-4115-BD73-15D27063856F}"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3:A14" firstHeaderRow="1" firstDataRow="1" firstDataCol="0"/>
  <pivotFields count="1">
    <pivotField dataField="1" showAll="0"/>
  </pivotFields>
  <rowItems count="1">
    <i/>
  </rowItems>
  <colItems count="1">
    <i/>
  </colItems>
  <dataFields count="1">
    <dataField name="Total Admissions" fld="0" subtotal="count" baseField="0" baseItem="105444808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115748C-C9C6-4B2A-854E-687DA17C6576}"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A8" firstHeaderRow="1" firstDataRow="1" firstDataCol="0"/>
  <pivotFields count="1">
    <pivotField dataField="1" showAll="0"/>
  </pivotFields>
  <rowItems count="1">
    <i/>
  </rowItems>
  <colItems count="1">
    <i/>
  </colItems>
  <dataFields count="1">
    <dataField name="Total Departments" fld="0" subtotal="count" baseField="0" baseItem="105444808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FBEBD51-5647-431C-AAF1-AE24FABB4CEB}" name="PivotTable7"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9:C36"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2FDDBF8-0A95-43DE-934A-C63AB6EA43CD}" name="PivotTable10"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2:H5" firstHeaderRow="1" firstDataRow="1" firstDataCol="1"/>
  <pivotFields count="8">
    <pivotField dataField="1" showAll="0"/>
    <pivotField showAll="0"/>
    <pivotField axis="axisRow" showAll="0">
      <items count="3">
        <item x="1"/>
        <item x="0"/>
        <item t="default"/>
      </items>
    </pivotField>
    <pivotField showAll="0"/>
    <pivotField showAll="0"/>
    <pivotField showAll="0"/>
    <pivotField numFmtId="22" showAll="0"/>
    <pivotField showAll="0"/>
  </pivotFields>
  <rowFields count="1">
    <field x="2"/>
  </rowFields>
  <rowItems count="3">
    <i>
      <x/>
    </i>
    <i>
      <x v="1"/>
    </i>
    <i t="grand">
      <x/>
    </i>
  </rowItems>
  <colItems count="1">
    <i/>
  </colItems>
  <dataFields count="1">
    <dataField name="Count of patient_id" fld="0" subtotal="count" baseField="2"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603152C-A015-4A4D-A744-D4B8B98877C5}"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A11" firstHeaderRow="1" firstDataRow="1" firstDataCol="0"/>
  <pivotFields count="1">
    <pivotField dataField="1" showAll="0"/>
  </pivotFields>
  <rowItems count="1">
    <i/>
  </rowItems>
  <colItems count="1">
    <i/>
  </colItems>
  <dataFields count="1">
    <dataField name="Total Appointments" fld="0" subtotal="count" baseField="0" baseItem="105444808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042249-753F-492F-AE8E-32F040113FD9}" autoFormatId="16" applyNumberFormats="0" applyBorderFormats="0" applyFontFormats="0" applyPatternFormats="0" applyAlignmentFormats="0" applyWidthHeightFormats="0">
  <queryTableRefresh nextId="11">
    <queryTableFields count="10">
      <queryTableField id="1" name="admission_id" tableColumnId="1"/>
      <queryTableField id="2" name="patient_id" tableColumnId="2"/>
      <queryTableField id="3" name="doctor_id" tableColumnId="3"/>
      <queryTableField id="4" name="department_id" tableColumnId="4"/>
      <queryTableField id="5" name="admission_date" tableColumnId="5"/>
      <queryTableField id="6" name="discharge_date" tableColumnId="6"/>
      <queryTableField id="7" name="room_type" tableColumnId="7"/>
      <queryTableField id="8" name="bed_number" tableColumnId="8"/>
      <queryTableField id="9" name="admission_type" tableColumnId="9"/>
      <queryTableField id="10" name="admission_statu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2F81BEB0-B8C4-4937-9DF8-73C1C02FEC7C}" autoFormatId="16" applyNumberFormats="0" applyBorderFormats="0" applyFontFormats="0" applyPatternFormats="0" applyAlignmentFormats="0" applyWidthHeightFormats="0">
  <queryTableRefresh nextId="8">
    <queryTableFields count="7">
      <queryTableField id="1" name="appointment_id" tableColumnId="1"/>
      <queryTableField id="2" name="patient_id" tableColumnId="2"/>
      <queryTableField id="3" name="doctor_id" tableColumnId="3"/>
      <queryTableField id="4" name="department_id" tableColumnId="4"/>
      <queryTableField id="5" name="appointment_date" tableColumnId="5"/>
      <queryTableField id="6" name="appointment_type" tableColumnId="6"/>
      <queryTableField id="7" name="appointment_status"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8A41BFF6-8F62-420A-97A7-EE4A4BCE3EE9}" autoFormatId="16" applyNumberFormats="0" applyBorderFormats="0" applyFontFormats="0" applyPatternFormats="0" applyAlignmentFormats="0" applyWidthHeightFormats="0">
  <queryTableRefresh nextId="12">
    <queryTableFields count="11">
      <queryTableField id="1" name="bill_id" tableColumnId="1"/>
      <queryTableField id="2" name="patient_id" tableColumnId="2"/>
      <queryTableField id="3" name="admission_id" tableColumnId="3"/>
      <queryTableField id="4" name="bill_date" tableColumnId="4"/>
      <queryTableField id="5" name="consultation_charges" tableColumnId="5"/>
      <queryTableField id="6" name="medicine_charges" tableColumnId="6"/>
      <queryTableField id="7" name="lab_charges" tableColumnId="7"/>
      <queryTableField id="8" name="room_charges" tableColumnId="8"/>
      <queryTableField id="9" name="treatment_charges" tableColumnId="9"/>
      <queryTableField id="10" name="total_amount" tableColumnId="10"/>
      <queryTableField id="11" name="bill_status"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E426AE47-11BD-4B02-AA7E-939F03F62737}" autoFormatId="16" applyNumberFormats="0" applyBorderFormats="0" applyFontFormats="0" applyPatternFormats="0" applyAlignmentFormats="0" applyWidthHeightFormats="0">
  <queryTableRefresh nextId="5">
    <queryTableFields count="4">
      <queryTableField id="1" name="department_id" tableColumnId="1"/>
      <queryTableField id="2" name="department_name" tableColumnId="2"/>
      <queryTableField id="3" name="floor_no" tableColumnId="3"/>
      <queryTableField id="4" name="department_type"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7BB435EF-89E6-43CB-9286-F21A315423DA}" autoFormatId="16" applyNumberFormats="0" applyBorderFormats="0" applyFontFormats="0" applyPatternFormats="0" applyAlignmentFormats="0" applyWidthHeightFormats="0">
  <queryTableRefresh nextId="8">
    <queryTableFields count="7">
      <queryTableField id="1" name="diagnosis_id" tableColumnId="1"/>
      <queryTableField id="2" name="patient_id" tableColumnId="2"/>
      <queryTableField id="3" name="doctor_id" tableColumnId="3"/>
      <queryTableField id="4" name="appointment_id" tableColumnId="4"/>
      <queryTableField id="5" name="diagnosis_name" tableColumnId="5"/>
      <queryTableField id="6" name="diagnosis_date" tableColumnId="6"/>
      <queryTableField id="7" name="severity"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9C4B579C-9EFC-4710-8846-211BFD4A20EA}" autoFormatId="16" applyNumberFormats="0" applyBorderFormats="0" applyFontFormats="0" applyPatternFormats="0" applyAlignmentFormats="0" applyWidthHeightFormats="0">
  <queryTableRefresh nextId="8">
    <queryTableFields count="7">
      <queryTableField id="1" name="doctor_id" tableColumnId="1"/>
      <queryTableField id="2" name="doctor_name" tableColumnId="2"/>
      <queryTableField id="3" name="gender" tableColumnId="3"/>
      <queryTableField id="4" name="specialization" tableColumnId="4"/>
      <queryTableField id="5" name="department_id" tableColumnId="5"/>
      <queryTableField id="6" name="experience_years" tableColumnId="6"/>
      <queryTableField id="7" name="consultation_fee" tableColumnId="7"/>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7" xr16:uid="{9CE2EAEA-70A4-44C7-85C9-B2B49A7E8FD6}" autoFormatId="16" applyNumberFormats="0" applyBorderFormats="0" applyFontFormats="0" applyPatternFormats="0" applyAlignmentFormats="0" applyWidthHeightFormats="0">
  <queryTableRefresh nextId="8">
    <queryTableFields count="7">
      <queryTableField id="1" name="entry_exit_id" tableColumnId="1"/>
      <queryTableField id="2" name="patient_id" tableColumnId="2"/>
      <queryTableField id="3" name="admission_id" tableColumnId="3"/>
      <queryTableField id="4" name="entry_time" tableColumnId="4"/>
      <queryTableField id="5" name="exit_time" tableColumnId="5"/>
      <queryTableField id="6" name="entry_type" tableColumnId="6"/>
      <queryTableField id="7" name="exit_type" tableColumnId="7"/>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9" xr16:uid="{0580BEE9-63F3-43F3-B57D-C2F2790F01E3}" autoFormatId="16" applyNumberFormats="0" applyBorderFormats="0" applyFontFormats="0" applyPatternFormats="0" applyAlignmentFormats="0" applyWidthHeightFormats="0">
  <queryTableRefresh nextId="10">
    <queryTableFields count="8">
      <queryTableField id="1" name="patient_id" tableColumnId="1"/>
      <queryTableField id="2" name="patient_name" tableColumnId="2"/>
      <queryTableField id="3" name="gender" tableColumnId="3"/>
      <queryTableField id="4" name="age" tableColumnId="4"/>
      <queryTableField id="5" name="city" tableColumnId="5"/>
      <queryTableField id="6" name="blood_group" tableColumnId="6"/>
      <queryTableField id="7" name="registration_date" tableColumnId="7"/>
      <queryTableField id="9" name="insurance_id" tableColumn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0" xr16:uid="{85D1A783-611C-401E-8FDE-75656EDD6F10}" autoFormatId="16" applyNumberFormats="0" applyBorderFormats="0" applyFontFormats="0" applyPatternFormats="0" applyAlignmentFormats="0" applyWidthHeightFormats="0">
  <queryTableRefresh nextId="8">
    <queryTableFields count="7">
      <queryTableField id="1" name="payment_id" tableColumnId="1"/>
      <queryTableField id="2" name="bill_id" tableColumnId="2"/>
      <queryTableField id="3" name="patient_id" tableColumnId="3"/>
      <queryTableField id="4" name="payment_date" tableColumnId="4"/>
      <queryTableField id="5" name="payment_amount" tableColumnId="5"/>
      <queryTableField id="6" name="payment_method" tableColumnId="6"/>
      <queryTableField id="7" name="payment_status" tableColumnId="7"/>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1" xr16:uid="{213CF54E-A0B5-4658-98E4-E24A96EF93F8}" autoFormatId="16" applyNumberFormats="0" applyBorderFormats="0" applyFontFormats="0" applyPatternFormats="0" applyAlignmentFormats="0" applyWidthHeightFormats="0">
  <queryTableRefresh nextId="8">
    <queryTableFields count="7">
      <queryTableField id="1" name="staff_id" tableColumnId="1"/>
      <queryTableField id="2" name="staff_name" tableColumnId="2"/>
      <queryTableField id="3" name="gender" tableColumnId="3"/>
      <queryTableField id="4" name="role" tableColumnId="4"/>
      <queryTableField id="5" name="department_id" tableColumnId="5"/>
      <queryTableField id="6" name="shift" tableColumnId="6"/>
      <queryTableField id="7" name="salary" tableColumnId="7"/>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12" xr16:uid="{6994F5EA-9A5D-4D15-842A-FA9BD0774941}" autoFormatId="16" applyNumberFormats="0" applyBorderFormats="0" applyFontFormats="0" applyPatternFormats="0" applyAlignmentFormats="0" applyWidthHeightFormats="0">
  <queryTableRefresh nextId="9">
    <queryTableFields count="8">
      <queryTableField id="1" name="treatment_id" tableColumnId="1"/>
      <queryTableField id="2" name="patient_id" tableColumnId="2"/>
      <queryTableField id="3" name="doctor_id" tableColumnId="3"/>
      <queryTableField id="4" name="diagnosis_id" tableColumnId="4"/>
      <queryTableField id="5" name="treatment_name" tableColumnId="5"/>
      <queryTableField id="6" name="treatment_date" tableColumnId="6"/>
      <queryTableField id="7" name="treatment_cost" tableColumnId="7"/>
      <queryTableField id="8" name="treatment_status" tableColumnId="8"/>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8" xr16:uid="{86492D2E-F462-4628-AF3A-DF6CB6F07C88}" autoFormatId="16" applyNumberFormats="0" applyBorderFormats="0" applyFontFormats="0" applyPatternFormats="0" applyAlignmentFormats="0" applyWidthHeightFormats="0">
  <queryTableRefresh nextId="5">
    <queryTableFields count="4">
      <queryTableField id="1" name="insurance_id" tableColumnId="1"/>
      <queryTableField id="2" name="company" tableColumnId="2"/>
      <queryTableField id="3" name="plan_name" tableColumnId="3"/>
      <queryTableField id="4" name="insurance_limit"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338C18A9-3EDD-4BB1-82C8-BB2B73D85943}" sourceName="[hca_departments].[department_name]">
  <pivotTables>
    <pivotTable tabId="20" name="PivotTable14"/>
    <pivotTable tabId="20" name="PivotTable13"/>
    <pivotTable tabId="20" name="PivotTable15"/>
    <pivotTable tabId="20" name="PivotTable17"/>
    <pivotTable tabId="14" name="PivotTable8"/>
  </pivotTables>
  <data>
    <olap pivotCacheId="910773558">
      <levels count="2">
        <level uniqueName="[hca_departments].[department_name].[(All)]" sourceCaption="(All)" count="0"/>
        <level uniqueName="[hca_departments].[department_name].[department_name]" sourceCaption="department_name" count="10">
          <ranges>
            <range startItem="0">
              <i n="[hca_departments].[department_name].&amp;[Cardiology]" c="Cardiology"/>
              <i n="[hca_departments].[department_name].&amp;[Dermatology]" c="Dermatology"/>
              <i n="[hca_departments].[department_name].&amp;[Endocrinology]" c="Endocrinology"/>
              <i n="[hca_departments].[department_name].&amp;[ENT]" c="ENT"/>
              <i n="[hca_departments].[department_name].&amp;[Gastroenterology]" c="Gastroenterology"/>
              <i n="[hca_departments].[department_name].&amp;[General Medicine]" c="General Medicine"/>
              <i n="[hca_departments].[department_name].&amp;[Gynecology]" c="Gynecology"/>
              <i n="[hca_departments].[department_name].&amp;[Neurology]" c="Neurology"/>
              <i n="[hca_departments].[department_name].&amp;[Orthopedics]" c="Orthopedics"/>
              <i n="[hca_departments].[department_name].&amp;[Pediatrics]" c="Pediatrics"/>
            </range>
          </ranges>
        </level>
      </levels>
      <selections count="1">
        <selection n="[hca_departments].[department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CA66768-6394-460B-9919-F5E9970E309C}" sourceName="gender">
  <pivotTables>
    <pivotTable tabId="14" name="PivotTable10"/>
  </pivotTables>
  <data>
    <tabular pivotCacheId="35827827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ointment_status" xr10:uid="{7A33963B-926D-4875-B82A-70DF866C74E7}" sourceName="appointment_status">
  <pivotTables>
    <pivotTable tabId="14" name="PivotTable11"/>
  </pivotTables>
  <data>
    <tabular pivotCacheId="60813863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A60B1489-4887-4EFE-850B-82E77E31A566}" sourceName="[hca_admissions].[admission_type]">
  <pivotTables>
    <pivotTable tabId="20" name="PivotTable14"/>
    <pivotTable tabId="20" name="PivotTable13"/>
    <pivotTable tabId="20" name="PivotTable15"/>
    <pivotTable tabId="20" name="PivotTable17"/>
    <pivotTable tabId="14" name="PivotTable8"/>
  </pivotTables>
  <data>
    <olap pivotCacheId="910773558">
      <levels count="2">
        <level uniqueName="[hca_admissions].[admission_type].[(All)]" sourceCaption="(All)" count="0"/>
        <level uniqueName="[hca_admissions].[admission_type].[admission_type]" sourceCaption="admission_type" count="2">
          <ranges>
            <range startItem="0">
              <i n="[hca_admissions].[admission_type].&amp;[Emergency]" c="Emergency"/>
              <i n="[hca_admissions].[admission_type].&amp;[Planned]" c="Planned"/>
            </range>
          </ranges>
        </level>
      </levels>
      <selections count="1">
        <selection n="[hca_admissions].[admission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_name" xr10:uid="{513C5545-019B-4E8D-9BFE-C55BFE4BF977}" cache="Slicer_department_name" caption="Department Name" level="1" rowHeight="234950"/>
  <slicer name="gender" xr10:uid="{C3915508-66F1-49BF-832C-CCDF96CECDE9}" cache="Slicer_gender" caption="Gender" rowHeight="234950"/>
  <slicer name="Appointment Status" xr10:uid="{6BB2A7B0-D2DF-43A9-B30D-A8FD2DE4CA53}" cache="Slicer_appointment_status" caption="Appointment Status" rowHeight="234950"/>
  <slicer name="admission_type" xr10:uid="{565B172C-9BBA-4463-8D34-9F3E4CA57B05}" cache="Slicer_admission_type" caption="Admission Typ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BC2C47-29B1-4CDE-B031-96AAB28CA1CE}" name="hca_admissions" displayName="hca_admissions" ref="A1:J11" tableType="queryTable" totalsRowShown="0">
  <autoFilter ref="A1:J11" xr:uid="{1D324382-4A32-48E0-B11D-F51234E2EBC6}"/>
  <tableColumns count="10">
    <tableColumn id="1" xr3:uid="{F4B6EC55-057D-4B2B-B78C-2988F3D2DF97}" uniqueName="1" name="admission_id" queryTableFieldId="1"/>
    <tableColumn id="2" xr3:uid="{AE1CF686-AF42-49EF-BAEC-7E773F0F08AD}" uniqueName="2" name="patient_id" queryTableFieldId="2"/>
    <tableColumn id="3" xr3:uid="{6AC0BD30-D7B5-4306-9651-3FCF53B3EF8B}" uniqueName="3" name="doctor_id" queryTableFieldId="3"/>
    <tableColumn id="4" xr3:uid="{5AD9E5DA-B845-4DF1-AEAA-D6AF57A26C80}" uniqueName="4" name="department_id" queryTableFieldId="4"/>
    <tableColumn id="5" xr3:uid="{3E5817BD-5B56-4733-B9C5-A1C782008028}" uniqueName="5" name="admission_date" queryTableFieldId="5" dataDxfId="9"/>
    <tableColumn id="6" xr3:uid="{E8FE9944-2758-4B46-AA07-D883C68B665E}" uniqueName="6" name="discharge_date" queryTableFieldId="6" dataDxfId="8"/>
    <tableColumn id="7" xr3:uid="{9B6F6530-3D98-4F04-BD3D-62CF49BA449C}" uniqueName="7" name="room_type" queryTableFieldId="7"/>
    <tableColumn id="8" xr3:uid="{836FCA35-7B1A-4B5A-9C7B-BBCDCE6F178B}" uniqueName="8" name="bed_number" queryTableFieldId="8"/>
    <tableColumn id="9" xr3:uid="{278DD0CA-8E8F-4053-A855-EF521217D7A0}" uniqueName="9" name="admission_type" queryTableFieldId="9"/>
    <tableColumn id="10" xr3:uid="{84F8B34B-FB5B-45B9-B4D4-E3E5435E21F5}" uniqueName="10" name="admission_status"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C3701B-11C0-44D7-ADBA-23030C7FF9E0}" name="hca_appointments" displayName="hca_appointments" ref="A1:G21" tableType="queryTable" totalsRowShown="0">
  <autoFilter ref="A1:G21" xr:uid="{EC0F85DF-3EC5-463E-B6D6-10F108AE51C1}"/>
  <tableColumns count="7">
    <tableColumn id="1" xr3:uid="{7DFE005C-4631-43ED-91DA-95E6AE2448F3}" uniqueName="1" name="appointment_id" queryTableFieldId="1"/>
    <tableColumn id="2" xr3:uid="{4AA58DC5-7250-411A-8D04-7C40BC952CAF}" uniqueName="2" name="patient_id" queryTableFieldId="2"/>
    <tableColumn id="3" xr3:uid="{37110F4E-2FEC-42B7-BB21-333862CB5798}" uniqueName="3" name="doctor_id" queryTableFieldId="3"/>
    <tableColumn id="4" xr3:uid="{CCB8DA8D-BB3D-49A0-ADDA-59027FD68C6C}" uniqueName="4" name="department_id" queryTableFieldId="4"/>
    <tableColumn id="5" xr3:uid="{AFBB02FE-78B3-49C2-8125-B4BA3759A2BF}" uniqueName="5" name="appointment_date" queryTableFieldId="5" dataDxfId="7"/>
    <tableColumn id="6" xr3:uid="{8B27576C-9C7C-4162-97A2-266BCE025501}" uniqueName="6" name="appointment_type" queryTableFieldId="6"/>
    <tableColumn id="7" xr3:uid="{BE51401E-CA39-400F-9101-1A94EBB2D430}" uniqueName="7" name="appointment_status"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49808B-91C3-406C-B5CA-7C90D3170334}" name="hca_bills" displayName="hca_bills" ref="A1:K11" tableType="queryTable" totalsRowShown="0">
  <autoFilter ref="A1:K11" xr:uid="{3C9AC2BA-9469-44E9-B385-2A3B45B4AD64}"/>
  <tableColumns count="11">
    <tableColumn id="1" xr3:uid="{CBDA1403-DA58-499E-B83F-DC274699644F}" uniqueName="1" name="bill_id" queryTableFieldId="1"/>
    <tableColumn id="2" xr3:uid="{75081210-544C-4569-A49D-147EA7C7850D}" uniqueName="2" name="patient_id" queryTableFieldId="2"/>
    <tableColumn id="3" xr3:uid="{782A246F-558B-4CDA-A46F-DD41329DB649}" uniqueName="3" name="admission_id" queryTableFieldId="3"/>
    <tableColumn id="4" xr3:uid="{9BDFDB85-F0BA-4746-907E-90C616285866}" uniqueName="4" name="bill_date" queryTableFieldId="4" dataDxfId="6"/>
    <tableColumn id="5" xr3:uid="{3BBCBBA0-C79B-431F-BE83-9113F1F72C9C}" uniqueName="5" name="consultation_charges" queryTableFieldId="5"/>
    <tableColumn id="6" xr3:uid="{395DF983-F913-4BDA-B431-17E7C5FA57C7}" uniqueName="6" name="medicine_charges" queryTableFieldId="6"/>
    <tableColumn id="7" xr3:uid="{E38D5727-FBC3-4F4D-BD29-4DF1314332A7}" uniqueName="7" name="lab_charges" queryTableFieldId="7"/>
    <tableColumn id="8" xr3:uid="{112EB246-997B-4257-A4AB-F8ADC9A47FE4}" uniqueName="8" name="room_charges" queryTableFieldId="8"/>
    <tableColumn id="9" xr3:uid="{490B4178-F7C9-40CB-8FC0-2A30DD3818BA}" uniqueName="9" name="treatment_charges" queryTableFieldId="9"/>
    <tableColumn id="10" xr3:uid="{62584545-8BA4-4258-803B-271E215380E8}" uniqueName="10" name="total_amount" queryTableFieldId="10"/>
    <tableColumn id="11" xr3:uid="{BA3F82BE-B86D-49F9-B3F9-CC31CE55392E}" uniqueName="11" name="bill_status" queryTableField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E0D0CC-DAAA-49B1-8390-A6804E81B9E1}" name="hca_departments" displayName="hca_departments" ref="A1:D11" tableType="queryTable" totalsRowShown="0">
  <autoFilter ref="A1:D11" xr:uid="{42952342-3727-4C6D-B472-C2BC83A95D1E}"/>
  <tableColumns count="4">
    <tableColumn id="1" xr3:uid="{388BC370-24AA-478F-841A-B3DBD8151CB6}" uniqueName="1" name="department_id" queryTableFieldId="1"/>
    <tableColumn id="2" xr3:uid="{B67063FF-B3F5-4CE5-A95B-24B4F1AD0974}" uniqueName="2" name="department_name" queryTableFieldId="2"/>
    <tableColumn id="3" xr3:uid="{6E12D0E1-248B-48B1-A505-7FE507811E4D}" uniqueName="3" name="floor_no" queryTableFieldId="3"/>
    <tableColumn id="4" xr3:uid="{68ED0120-64A7-4CF5-97DE-FE3C1E896196}" uniqueName="4" name="department_type" queryTableField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33FE0E-F8B5-4586-AFEE-3CD6745FB7FE}" name="hca_diagnoses" displayName="hca_diagnoses" ref="A1:G20" tableType="queryTable" totalsRowShown="0">
  <autoFilter ref="A1:G20" xr:uid="{A3432D87-83AD-4DB1-B640-383E7CC8C26D}"/>
  <tableColumns count="7">
    <tableColumn id="1" xr3:uid="{6910F306-467A-4966-97B5-5EE8280EE1CD}" uniqueName="1" name="diagnosis_id" queryTableFieldId="1"/>
    <tableColumn id="2" xr3:uid="{1EF89250-D21B-4978-AA21-85635A4F0110}" uniqueName="2" name="patient_id" queryTableFieldId="2"/>
    <tableColumn id="3" xr3:uid="{6D7399EE-2FA7-405A-9284-BD68810D42E6}" uniqueName="3" name="doctor_id" queryTableFieldId="3"/>
    <tableColumn id="4" xr3:uid="{8E720ABF-C94C-4894-9092-75B149A9B664}" uniqueName="4" name="appointment_id" queryTableFieldId="4"/>
    <tableColumn id="5" xr3:uid="{A87A21F9-5FEE-4021-AB06-7DB324380E32}" uniqueName="5" name="diagnosis_name" queryTableFieldId="5"/>
    <tableColumn id="6" xr3:uid="{738509AD-3E88-4A63-BB86-B0B6C6E00F8F}" uniqueName="6" name="diagnosis_date" queryTableFieldId="6" dataDxfId="5"/>
    <tableColumn id="7" xr3:uid="{F544CE8E-FA8D-4145-88EE-AF7AA1EE2D22}" uniqueName="7" name="severity" queryTableFieldId="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06E90B2-0346-4F90-AE8C-CCB42A087A5F}" name="hca_doctors" displayName="hca_doctors" ref="A1:G11" tableType="queryTable" totalsRowShown="0">
  <autoFilter ref="A1:G11" xr:uid="{7EB92881-3171-4BB8-9B31-60CB47F0297E}"/>
  <tableColumns count="7">
    <tableColumn id="1" xr3:uid="{D2CBEC86-BA87-4979-AAE3-8DB84CBBFBFE}" uniqueName="1" name="doctor_id" queryTableFieldId="1"/>
    <tableColumn id="2" xr3:uid="{413FEBB6-ADD6-4A51-ABEA-03C2B9368E9A}" uniqueName="2" name="doctor_name" queryTableFieldId="2"/>
    <tableColumn id="3" xr3:uid="{F01DEFC4-8E29-42A3-BFD8-7C3FC49E74D5}" uniqueName="3" name="gender" queryTableFieldId="3"/>
    <tableColumn id="4" xr3:uid="{EB033692-2322-4393-B0F9-EFA66B495DFB}" uniqueName="4" name="specialization" queryTableFieldId="4"/>
    <tableColumn id="5" xr3:uid="{9CD9B862-3493-49FB-B154-9C2B2AC97CB6}" uniqueName="5" name="department_id" queryTableFieldId="5"/>
    <tableColumn id="6" xr3:uid="{88B3DFC8-4364-438A-966B-9F1509EFA68D}" uniqueName="6" name="experience_years" queryTableFieldId="6"/>
    <tableColumn id="7" xr3:uid="{8F4805EE-D473-4357-91BC-66679DDAA753}" uniqueName="7" name="consultation_fee" queryTableFieldId="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C7A44AC-B1F7-482C-9D1D-074340F38AA3}" name="hca_entry_exit" displayName="hca_entry_exit" ref="A1:G11" tableType="queryTable" totalsRowShown="0">
  <autoFilter ref="A1:G11" xr:uid="{DE47E521-60E7-4184-AC8E-673047FAF2B0}"/>
  <tableColumns count="7">
    <tableColumn id="1" xr3:uid="{2CD802F7-0835-4EC2-B813-5AA4E6C82396}" uniqueName="1" name="entry_exit_id" queryTableFieldId="1"/>
    <tableColumn id="2" xr3:uid="{43BA7B33-D275-4E3D-8C7A-EF8103481D8E}" uniqueName="2" name="patient_id" queryTableFieldId="2"/>
    <tableColumn id="3" xr3:uid="{5C3E5845-D0D0-4EC5-8191-FD072D5A8081}" uniqueName="3" name="admission_id" queryTableFieldId="3"/>
    <tableColumn id="4" xr3:uid="{5EB4A59D-516F-4A62-9285-0A0B4063E767}" uniqueName="4" name="entry_time" queryTableFieldId="4" dataDxfId="4"/>
    <tableColumn id="5" xr3:uid="{C1777866-A666-4EAC-859A-7F97FAA028C9}" uniqueName="5" name="exit_time" queryTableFieldId="5" dataDxfId="3"/>
    <tableColumn id="6" xr3:uid="{C2FFD5A0-C815-4F99-A363-0FBCF48AC447}" uniqueName="6" name="entry_type" queryTableFieldId="6"/>
    <tableColumn id="7" xr3:uid="{3799C983-2F8A-40F2-8A2F-2DB1988C7AF8}" uniqueName="7" name="exit_type" queryTableFieldId="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B5118F3-8808-4DB3-9333-AB9EB6175275}" name="hca_patients" displayName="hca_patients" ref="A1:H51" tableType="queryTable" totalsRowShown="0">
  <autoFilter ref="A1:H51" xr:uid="{6C398FB0-7B77-4FDD-ABED-03E35FDF9F0E}"/>
  <tableColumns count="8">
    <tableColumn id="1" xr3:uid="{09BD37D4-2977-4C85-9A28-08542E9EF18D}" uniqueName="1" name="patient_id" queryTableFieldId="1"/>
    <tableColumn id="2" xr3:uid="{4B0ACCFC-9DC0-4433-AA5F-515740DB2C96}" uniqueName="2" name="patient_name" queryTableFieldId="2"/>
    <tableColumn id="3" xr3:uid="{13044615-B822-478E-B8CE-B5DEA39E5786}" uniqueName="3" name="gender" queryTableFieldId="3"/>
    <tableColumn id="4" xr3:uid="{61F07031-02D4-4612-8B89-75E4E694B6CA}" uniqueName="4" name="age" queryTableFieldId="4"/>
    <tableColumn id="5" xr3:uid="{142E9894-8EFC-45CC-913B-1E3E9C815F61}" uniqueName="5" name="city" queryTableFieldId="5"/>
    <tableColumn id="6" xr3:uid="{530C1452-E80C-4871-83F1-6702B1D3084D}" uniqueName="6" name="blood_group" queryTableFieldId="6"/>
    <tableColumn id="7" xr3:uid="{F4C14E9D-676C-4C67-9FE0-2A1CDF69D865}" uniqueName="7" name="registration_date" queryTableFieldId="7" dataDxfId="2"/>
    <tableColumn id="8" xr3:uid="{594DE30E-96F3-45D4-8CAD-C8204B78FDED}" uniqueName="8" name="insurance_id" queryTableFieldId="9"/>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B205AF8-94C3-48CD-8D20-3CF166F08403}" name="hca_payments" displayName="hca_payments" ref="A1:G11" tableType="queryTable" totalsRowShown="0">
  <autoFilter ref="A1:G11" xr:uid="{CEE0D859-0DDC-4B05-9283-77F0EEBAB504}"/>
  <tableColumns count="7">
    <tableColumn id="1" xr3:uid="{B1376019-C235-49CB-B70F-229D0CEE5689}" uniqueName="1" name="payment_id" queryTableFieldId="1"/>
    <tableColumn id="2" xr3:uid="{D0F41267-558C-406B-BB7C-8B476F05C004}" uniqueName="2" name="bill_id" queryTableFieldId="2"/>
    <tableColumn id="3" xr3:uid="{3103B54C-EF39-46B5-A498-75956867152B}" uniqueName="3" name="patient_id" queryTableFieldId="3"/>
    <tableColumn id="4" xr3:uid="{15F62D2D-AEAD-4E83-81A2-5E4C1227CAB0}" uniqueName="4" name="payment_date" queryTableFieldId="4" dataDxfId="1"/>
    <tableColumn id="5" xr3:uid="{185649B7-50FD-4304-A538-DC74DB6DD71F}" uniqueName="5" name="payment_amount" queryTableFieldId="5"/>
    <tableColumn id="6" xr3:uid="{9F7B9F24-5B3A-4CE7-9159-0A1831629ED5}" uniqueName="6" name="payment_method" queryTableFieldId="6"/>
    <tableColumn id="7" xr3:uid="{9F2A1006-6186-4308-9EE0-DB39ABD8796E}" uniqueName="7" name="payment_status" queryTableFieldId="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93E1ECD-AC4B-4B79-B919-985D373F70EF}" name="hca_staff" displayName="hca_staff" ref="A1:G16" tableType="queryTable" totalsRowShown="0">
  <autoFilter ref="A1:G16" xr:uid="{AB8865CE-BD38-47AE-9880-19C8F18DD7AA}"/>
  <tableColumns count="7">
    <tableColumn id="1" xr3:uid="{7AD0F0EB-8B4E-4FE5-89ED-F21100D7F8E6}" uniqueName="1" name="staff_id" queryTableFieldId="1"/>
    <tableColumn id="2" xr3:uid="{1A168122-A7FB-4CF6-A544-529C3659AD8E}" uniqueName="2" name="staff_name" queryTableFieldId="2"/>
    <tableColumn id="3" xr3:uid="{4927376B-2088-42A4-810A-C564551FBE76}" uniqueName="3" name="gender" queryTableFieldId="3"/>
    <tableColumn id="4" xr3:uid="{F0770D64-2FE2-42E1-A22E-EB2C495AC833}" uniqueName="4" name="role" queryTableFieldId="4"/>
    <tableColumn id="5" xr3:uid="{988B78EE-78BE-4B1D-B2FF-5BA609E5BA33}" uniqueName="5" name="department_id" queryTableFieldId="5"/>
    <tableColumn id="6" xr3:uid="{43458227-1D80-4527-9E5E-F0FFFE863BA8}" uniqueName="6" name="shift" queryTableFieldId="6"/>
    <tableColumn id="7" xr3:uid="{5C4BE508-CE94-46F2-8317-523C5EC07801}" uniqueName="7" name="salary" queryTableFieldId="7"/>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A9BF6B9-CEC2-4CDA-86FA-7BA85B2210B0}" name="hca_treatments" displayName="hca_treatments" ref="A1:H11" tableType="queryTable" totalsRowShown="0">
  <autoFilter ref="A1:H11" xr:uid="{6DCAB049-0259-46C6-AFFA-EA55721C490B}"/>
  <tableColumns count="8">
    <tableColumn id="1" xr3:uid="{FD7BC55F-472B-4B4F-BBE1-AE59BE51FDBA}" uniqueName="1" name="treatment_id" queryTableFieldId="1"/>
    <tableColumn id="2" xr3:uid="{9E56C889-8D3E-404F-A148-21D69E3F222B}" uniqueName="2" name="patient_id" queryTableFieldId="2"/>
    <tableColumn id="3" xr3:uid="{6CB672DA-950E-4880-835B-D796C5B2110F}" uniqueName="3" name="doctor_id" queryTableFieldId="3"/>
    <tableColumn id="4" xr3:uid="{4CEE2AA8-C764-4003-9EC1-46AC0823FBAA}" uniqueName="4" name="diagnosis_id" queryTableFieldId="4"/>
    <tableColumn id="5" xr3:uid="{897BC84E-6098-4AD3-92E3-7EE6B6AD4FBF}" uniqueName="5" name="treatment_name" queryTableFieldId="5"/>
    <tableColumn id="6" xr3:uid="{C5EF27FC-7EA3-48B4-AEB0-FD08B5FC3532}" uniqueName="6" name="treatment_date" queryTableFieldId="6" dataDxfId="0"/>
    <tableColumn id="7" xr3:uid="{A23BF8F5-FBEB-44B6-9E7A-A546A7021430}" uniqueName="7" name="treatment_cost" queryTableFieldId="7"/>
    <tableColumn id="8" xr3:uid="{628D3221-5819-4CEE-8FD4-C62F4695F7D7}" uniqueName="8" name="treatment_status" queryTableFieldId="8"/>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DA6F01-9120-489E-9FB5-1B4D00A67180}" name="hca_insurance" displayName="hca_insurance" ref="A1:D11" tableType="queryTable" totalsRowShown="0">
  <autoFilter ref="A1:D11" xr:uid="{5399B040-C5EB-483F-9D67-A98E6CE2DC3E}"/>
  <tableColumns count="4">
    <tableColumn id="1" xr3:uid="{EB45CEE9-8AE5-42D2-9785-F1459C14C375}" uniqueName="1" name="insurance_id" queryTableFieldId="1"/>
    <tableColumn id="2" xr3:uid="{31EC4217-EA5F-4B4D-A178-8DF3A410D6DA}" uniqueName="2" name="company" queryTableFieldId="2"/>
    <tableColumn id="3" xr3:uid="{A41D087F-07D7-44F6-8F33-9676B10CB9FE}" uniqueName="3" name="plan_name" queryTableFieldId="3"/>
    <tableColumn id="4" xr3:uid="{0154455D-E9F3-45AB-B7E2-1586C9AA5504}" uniqueName="4" name="insurance_limit"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printerSettings" Target="../printerSettings/printerSettings1.bin"/><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040E2-998E-4B20-BC3E-4ADDDB75BF04}">
  <dimension ref="A1:J11"/>
  <sheetViews>
    <sheetView workbookViewId="0"/>
  </sheetViews>
  <sheetFormatPr defaultRowHeight="14.4" x14ac:dyDescent="0.3"/>
  <cols>
    <col min="1" max="1" width="14.21875" bestFit="1" customWidth="1"/>
    <col min="2" max="2" width="11.77734375" bestFit="1" customWidth="1"/>
    <col min="3" max="3" width="11.33203125" bestFit="1" customWidth="1"/>
    <col min="4" max="4" width="15.88671875" bestFit="1" customWidth="1"/>
    <col min="5" max="5" width="16.5546875" bestFit="1" customWidth="1"/>
    <col min="6" max="6" width="16.109375" bestFit="1" customWidth="1"/>
    <col min="7" max="7" width="12.5546875" bestFit="1" customWidth="1"/>
    <col min="8" max="8" width="14.109375" bestFit="1" customWidth="1"/>
    <col min="9" max="9" width="16.5546875" bestFit="1" customWidth="1"/>
    <col min="10" max="10" width="17.77734375" bestFit="1" customWidth="1"/>
  </cols>
  <sheetData>
    <row r="1" spans="1:10" x14ac:dyDescent="0.3">
      <c r="A1" t="s">
        <v>0</v>
      </c>
      <c r="B1" t="s">
        <v>1</v>
      </c>
      <c r="C1" t="s">
        <v>2</v>
      </c>
      <c r="D1" t="s">
        <v>3</v>
      </c>
      <c r="E1" t="s">
        <v>4</v>
      </c>
      <c r="F1" t="s">
        <v>5</v>
      </c>
      <c r="G1" t="s">
        <v>6</v>
      </c>
      <c r="H1" t="s">
        <v>7</v>
      </c>
      <c r="I1" t="s">
        <v>8</v>
      </c>
      <c r="J1" t="s">
        <v>9</v>
      </c>
    </row>
    <row r="2" spans="1:10" x14ac:dyDescent="0.3">
      <c r="A2">
        <v>1</v>
      </c>
      <c r="B2">
        <v>1</v>
      </c>
      <c r="C2">
        <v>1</v>
      </c>
      <c r="D2">
        <v>1</v>
      </c>
      <c r="E2" s="1">
        <v>46032</v>
      </c>
      <c r="F2" s="1">
        <v>46036</v>
      </c>
      <c r="G2" t="s">
        <v>10</v>
      </c>
      <c r="H2" t="s">
        <v>11</v>
      </c>
      <c r="I2" t="s">
        <v>12</v>
      </c>
      <c r="J2" t="s">
        <v>13</v>
      </c>
    </row>
    <row r="3" spans="1:10" x14ac:dyDescent="0.3">
      <c r="A3">
        <v>2</v>
      </c>
      <c r="B3">
        <v>3</v>
      </c>
      <c r="C3">
        <v>3</v>
      </c>
      <c r="D3">
        <v>3</v>
      </c>
      <c r="E3" s="1">
        <v>46034</v>
      </c>
      <c r="F3" s="1">
        <v>46039</v>
      </c>
      <c r="G3" t="s">
        <v>14</v>
      </c>
      <c r="H3" t="s">
        <v>15</v>
      </c>
      <c r="I3" t="s">
        <v>16</v>
      </c>
      <c r="J3" t="s">
        <v>13</v>
      </c>
    </row>
    <row r="4" spans="1:10" x14ac:dyDescent="0.3">
      <c r="A4">
        <v>3</v>
      </c>
      <c r="B4">
        <v>5</v>
      </c>
      <c r="C4">
        <v>5</v>
      </c>
      <c r="D4">
        <v>5</v>
      </c>
      <c r="E4" s="1">
        <v>46037</v>
      </c>
      <c r="F4" s="1">
        <v>46042</v>
      </c>
      <c r="G4" t="s">
        <v>10</v>
      </c>
      <c r="H4" t="s">
        <v>17</v>
      </c>
      <c r="I4" t="s">
        <v>12</v>
      </c>
      <c r="J4" t="s">
        <v>13</v>
      </c>
    </row>
    <row r="5" spans="1:10" x14ac:dyDescent="0.3">
      <c r="A5">
        <v>4</v>
      </c>
      <c r="B5">
        <v>7</v>
      </c>
      <c r="C5">
        <v>7</v>
      </c>
      <c r="D5">
        <v>7</v>
      </c>
      <c r="E5" s="1">
        <v>46040</v>
      </c>
      <c r="F5" s="1">
        <v>46042</v>
      </c>
      <c r="G5" t="s">
        <v>18</v>
      </c>
      <c r="H5" t="s">
        <v>19</v>
      </c>
      <c r="I5" t="s">
        <v>16</v>
      </c>
      <c r="J5" t="s">
        <v>13</v>
      </c>
    </row>
    <row r="6" spans="1:10" x14ac:dyDescent="0.3">
      <c r="A6">
        <v>5</v>
      </c>
      <c r="B6">
        <v>9</v>
      </c>
      <c r="C6">
        <v>9</v>
      </c>
      <c r="D6">
        <v>9</v>
      </c>
      <c r="E6" s="1">
        <v>46044</v>
      </c>
      <c r="F6" s="1">
        <v>46049</v>
      </c>
      <c r="G6" t="s">
        <v>10</v>
      </c>
      <c r="H6" t="s">
        <v>20</v>
      </c>
      <c r="I6" t="s">
        <v>12</v>
      </c>
      <c r="J6" t="s">
        <v>13</v>
      </c>
    </row>
    <row r="7" spans="1:10" x14ac:dyDescent="0.3">
      <c r="A7">
        <v>6</v>
      </c>
      <c r="B7">
        <v>12</v>
      </c>
      <c r="C7">
        <v>2</v>
      </c>
      <c r="D7">
        <v>2</v>
      </c>
      <c r="E7" s="1">
        <v>46054</v>
      </c>
      <c r="F7" s="1">
        <v>46057</v>
      </c>
      <c r="G7" t="s">
        <v>10</v>
      </c>
      <c r="H7" t="s">
        <v>21</v>
      </c>
      <c r="I7" t="s">
        <v>16</v>
      </c>
      <c r="J7" t="s">
        <v>13</v>
      </c>
    </row>
    <row r="8" spans="1:10" x14ac:dyDescent="0.3">
      <c r="A8">
        <v>7</v>
      </c>
      <c r="B8">
        <v>15</v>
      </c>
      <c r="C8">
        <v>5</v>
      </c>
      <c r="D8">
        <v>5</v>
      </c>
      <c r="E8" s="1">
        <v>46060</v>
      </c>
      <c r="F8" s="1">
        <v>46065</v>
      </c>
      <c r="G8" t="s">
        <v>14</v>
      </c>
      <c r="H8" t="s">
        <v>22</v>
      </c>
      <c r="I8" t="s">
        <v>12</v>
      </c>
      <c r="J8" t="s">
        <v>13</v>
      </c>
    </row>
    <row r="9" spans="1:10" x14ac:dyDescent="0.3">
      <c r="A9">
        <v>8</v>
      </c>
      <c r="B9">
        <v>17</v>
      </c>
      <c r="C9">
        <v>7</v>
      </c>
      <c r="D9">
        <v>7</v>
      </c>
      <c r="E9" s="1">
        <v>46064</v>
      </c>
      <c r="F9" s="1">
        <v>46067</v>
      </c>
      <c r="G9" t="s">
        <v>18</v>
      </c>
      <c r="H9" t="s">
        <v>23</v>
      </c>
      <c r="I9" t="s">
        <v>16</v>
      </c>
      <c r="J9" t="s">
        <v>13</v>
      </c>
    </row>
    <row r="10" spans="1:10" x14ac:dyDescent="0.3">
      <c r="A10">
        <v>9</v>
      </c>
      <c r="B10">
        <v>19</v>
      </c>
      <c r="C10">
        <v>9</v>
      </c>
      <c r="D10">
        <v>9</v>
      </c>
      <c r="E10" s="1">
        <v>46068</v>
      </c>
      <c r="F10" s="1">
        <v>46072</v>
      </c>
      <c r="G10" t="s">
        <v>10</v>
      </c>
      <c r="H10" t="s">
        <v>24</v>
      </c>
      <c r="I10" t="s">
        <v>12</v>
      </c>
      <c r="J10" t="s">
        <v>13</v>
      </c>
    </row>
    <row r="11" spans="1:10" x14ac:dyDescent="0.3">
      <c r="A11">
        <v>10</v>
      </c>
      <c r="B11">
        <v>21</v>
      </c>
      <c r="C11">
        <v>1</v>
      </c>
      <c r="D11">
        <v>1</v>
      </c>
      <c r="E11" s="1">
        <v>46073</v>
      </c>
      <c r="F11" s="1">
        <v>46078</v>
      </c>
      <c r="G11" t="s">
        <v>10</v>
      </c>
      <c r="H11" t="s">
        <v>25</v>
      </c>
      <c r="I11" t="s">
        <v>16</v>
      </c>
      <c r="J11"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24E70-F545-4FBF-8E6E-7EC9D98C5933}">
  <dimension ref="A1:G21"/>
  <sheetViews>
    <sheetView workbookViewId="0"/>
  </sheetViews>
  <sheetFormatPr defaultRowHeight="14.4" x14ac:dyDescent="0.3"/>
  <cols>
    <col min="1" max="1" width="16.88671875" bestFit="1" customWidth="1"/>
    <col min="2" max="2" width="11.77734375" bestFit="1" customWidth="1"/>
    <col min="3" max="3" width="11.33203125" bestFit="1" customWidth="1"/>
    <col min="4" max="4" width="15.88671875" bestFit="1" customWidth="1"/>
    <col min="5" max="6" width="19.109375" bestFit="1" customWidth="1"/>
    <col min="7" max="7" width="20.44140625" bestFit="1" customWidth="1"/>
  </cols>
  <sheetData>
    <row r="1" spans="1:7" x14ac:dyDescent="0.3">
      <c r="A1" t="s">
        <v>26</v>
      </c>
      <c r="B1" t="s">
        <v>1</v>
      </c>
      <c r="C1" t="s">
        <v>2</v>
      </c>
      <c r="D1" t="s">
        <v>3</v>
      </c>
      <c r="E1" t="s">
        <v>27</v>
      </c>
      <c r="F1" t="s">
        <v>28</v>
      </c>
      <c r="G1" t="s">
        <v>29</v>
      </c>
    </row>
    <row r="2" spans="1:7" x14ac:dyDescent="0.3">
      <c r="A2">
        <v>1</v>
      </c>
      <c r="B2">
        <v>1</v>
      </c>
      <c r="C2">
        <v>1</v>
      </c>
      <c r="D2">
        <v>1</v>
      </c>
      <c r="E2" s="1">
        <v>46032</v>
      </c>
      <c r="F2" t="s">
        <v>30</v>
      </c>
      <c r="G2" t="s">
        <v>31</v>
      </c>
    </row>
    <row r="3" spans="1:7" x14ac:dyDescent="0.3">
      <c r="A3">
        <v>2</v>
      </c>
      <c r="B3">
        <v>2</v>
      </c>
      <c r="C3">
        <v>2</v>
      </c>
      <c r="D3">
        <v>2</v>
      </c>
      <c r="E3" s="1">
        <v>46033</v>
      </c>
      <c r="F3" t="s">
        <v>30</v>
      </c>
      <c r="G3" t="s">
        <v>31</v>
      </c>
    </row>
    <row r="4" spans="1:7" x14ac:dyDescent="0.3">
      <c r="A4">
        <v>3</v>
      </c>
      <c r="B4">
        <v>3</v>
      </c>
      <c r="C4">
        <v>3</v>
      </c>
      <c r="D4">
        <v>3</v>
      </c>
      <c r="E4" s="1">
        <v>46034</v>
      </c>
      <c r="F4" t="s">
        <v>32</v>
      </c>
      <c r="G4" t="s">
        <v>31</v>
      </c>
    </row>
    <row r="5" spans="1:7" x14ac:dyDescent="0.3">
      <c r="A5">
        <v>4</v>
      </c>
      <c r="B5">
        <v>4</v>
      </c>
      <c r="C5">
        <v>4</v>
      </c>
      <c r="D5">
        <v>4</v>
      </c>
      <c r="E5" s="1">
        <v>46035</v>
      </c>
      <c r="F5" t="s">
        <v>30</v>
      </c>
      <c r="G5" t="s">
        <v>31</v>
      </c>
    </row>
    <row r="6" spans="1:7" x14ac:dyDescent="0.3">
      <c r="A6">
        <v>5</v>
      </c>
      <c r="B6">
        <v>5</v>
      </c>
      <c r="C6">
        <v>5</v>
      </c>
      <c r="D6">
        <v>5</v>
      </c>
      <c r="E6" s="1">
        <v>46037</v>
      </c>
      <c r="F6" t="s">
        <v>30</v>
      </c>
      <c r="G6" t="s">
        <v>31</v>
      </c>
    </row>
    <row r="7" spans="1:7" x14ac:dyDescent="0.3">
      <c r="A7">
        <v>6</v>
      </c>
      <c r="B7">
        <v>6</v>
      </c>
      <c r="C7">
        <v>6</v>
      </c>
      <c r="D7">
        <v>6</v>
      </c>
      <c r="E7" s="1">
        <v>46038</v>
      </c>
      <c r="F7" t="s">
        <v>30</v>
      </c>
      <c r="G7" t="s">
        <v>33</v>
      </c>
    </row>
    <row r="8" spans="1:7" x14ac:dyDescent="0.3">
      <c r="A8">
        <v>7</v>
      </c>
      <c r="B8">
        <v>7</v>
      </c>
      <c r="C8">
        <v>7</v>
      </c>
      <c r="D8">
        <v>7</v>
      </c>
      <c r="E8" s="1">
        <v>46040</v>
      </c>
      <c r="F8" t="s">
        <v>30</v>
      </c>
      <c r="G8" t="s">
        <v>31</v>
      </c>
    </row>
    <row r="9" spans="1:7" x14ac:dyDescent="0.3">
      <c r="A9">
        <v>8</v>
      </c>
      <c r="B9">
        <v>8</v>
      </c>
      <c r="C9">
        <v>8</v>
      </c>
      <c r="D9">
        <v>8</v>
      </c>
      <c r="E9" s="1">
        <v>46042</v>
      </c>
      <c r="F9" t="s">
        <v>32</v>
      </c>
      <c r="G9" t="s">
        <v>31</v>
      </c>
    </row>
    <row r="10" spans="1:7" x14ac:dyDescent="0.3">
      <c r="A10">
        <v>9</v>
      </c>
      <c r="B10">
        <v>9</v>
      </c>
      <c r="C10">
        <v>9</v>
      </c>
      <c r="D10">
        <v>9</v>
      </c>
      <c r="E10" s="1">
        <v>46043</v>
      </c>
      <c r="F10" t="s">
        <v>30</v>
      </c>
      <c r="G10" t="s">
        <v>31</v>
      </c>
    </row>
    <row r="11" spans="1:7" x14ac:dyDescent="0.3">
      <c r="A11">
        <v>10</v>
      </c>
      <c r="B11">
        <v>10</v>
      </c>
      <c r="C11">
        <v>10</v>
      </c>
      <c r="D11">
        <v>10</v>
      </c>
      <c r="E11" s="1">
        <v>46044</v>
      </c>
      <c r="F11" t="s">
        <v>30</v>
      </c>
      <c r="G11" t="s">
        <v>31</v>
      </c>
    </row>
    <row r="12" spans="1:7" x14ac:dyDescent="0.3">
      <c r="A12">
        <v>11</v>
      </c>
      <c r="B12">
        <v>11</v>
      </c>
      <c r="C12">
        <v>1</v>
      </c>
      <c r="D12">
        <v>1</v>
      </c>
      <c r="E12" s="1">
        <v>46047</v>
      </c>
      <c r="F12" t="s">
        <v>32</v>
      </c>
      <c r="G12" t="s">
        <v>31</v>
      </c>
    </row>
    <row r="13" spans="1:7" x14ac:dyDescent="0.3">
      <c r="A13">
        <v>12</v>
      </c>
      <c r="B13">
        <v>12</v>
      </c>
      <c r="C13">
        <v>2</v>
      </c>
      <c r="D13">
        <v>2</v>
      </c>
      <c r="E13" s="1">
        <v>46049</v>
      </c>
      <c r="F13" t="s">
        <v>30</v>
      </c>
      <c r="G13" t="s">
        <v>31</v>
      </c>
    </row>
    <row r="14" spans="1:7" x14ac:dyDescent="0.3">
      <c r="A14">
        <v>13</v>
      </c>
      <c r="B14">
        <v>13</v>
      </c>
      <c r="C14">
        <v>3</v>
      </c>
      <c r="D14">
        <v>3</v>
      </c>
      <c r="E14" s="1">
        <v>46051</v>
      </c>
      <c r="F14" t="s">
        <v>30</v>
      </c>
      <c r="G14" t="s">
        <v>33</v>
      </c>
    </row>
    <row r="15" spans="1:7" x14ac:dyDescent="0.3">
      <c r="A15">
        <v>14</v>
      </c>
      <c r="B15">
        <v>14</v>
      </c>
      <c r="C15">
        <v>4</v>
      </c>
      <c r="D15">
        <v>4</v>
      </c>
      <c r="E15" s="1">
        <v>46054</v>
      </c>
      <c r="F15" t="s">
        <v>30</v>
      </c>
      <c r="G15" t="s">
        <v>31</v>
      </c>
    </row>
    <row r="16" spans="1:7" x14ac:dyDescent="0.3">
      <c r="A16">
        <v>15</v>
      </c>
      <c r="B16">
        <v>15</v>
      </c>
      <c r="C16">
        <v>5</v>
      </c>
      <c r="D16">
        <v>5</v>
      </c>
      <c r="E16" s="1">
        <v>46056</v>
      </c>
      <c r="F16" t="s">
        <v>32</v>
      </c>
      <c r="G16" t="s">
        <v>31</v>
      </c>
    </row>
    <row r="17" spans="1:7" x14ac:dyDescent="0.3">
      <c r="A17">
        <v>16</v>
      </c>
      <c r="B17">
        <v>16</v>
      </c>
      <c r="C17">
        <v>6</v>
      </c>
      <c r="D17">
        <v>6</v>
      </c>
      <c r="E17" s="1">
        <v>46058</v>
      </c>
      <c r="F17" t="s">
        <v>30</v>
      </c>
      <c r="G17" t="s">
        <v>31</v>
      </c>
    </row>
    <row r="18" spans="1:7" x14ac:dyDescent="0.3">
      <c r="A18">
        <v>17</v>
      </c>
      <c r="B18">
        <v>17</v>
      </c>
      <c r="C18">
        <v>7</v>
      </c>
      <c r="D18">
        <v>7</v>
      </c>
      <c r="E18" s="1">
        <v>46060</v>
      </c>
      <c r="F18" t="s">
        <v>30</v>
      </c>
      <c r="G18" t="s">
        <v>31</v>
      </c>
    </row>
    <row r="19" spans="1:7" x14ac:dyDescent="0.3">
      <c r="A19">
        <v>18</v>
      </c>
      <c r="B19">
        <v>18</v>
      </c>
      <c r="C19">
        <v>8</v>
      </c>
      <c r="D19">
        <v>8</v>
      </c>
      <c r="E19" s="1">
        <v>46062</v>
      </c>
      <c r="F19" t="s">
        <v>30</v>
      </c>
      <c r="G19" t="s">
        <v>31</v>
      </c>
    </row>
    <row r="20" spans="1:7" x14ac:dyDescent="0.3">
      <c r="A20">
        <v>19</v>
      </c>
      <c r="B20">
        <v>19</v>
      </c>
      <c r="C20">
        <v>9</v>
      </c>
      <c r="D20">
        <v>9</v>
      </c>
      <c r="E20" s="1">
        <v>46064</v>
      </c>
      <c r="F20" t="s">
        <v>32</v>
      </c>
      <c r="G20" t="s">
        <v>31</v>
      </c>
    </row>
    <row r="21" spans="1:7" x14ac:dyDescent="0.3">
      <c r="A21">
        <v>20</v>
      </c>
      <c r="B21">
        <v>20</v>
      </c>
      <c r="C21">
        <v>10</v>
      </c>
      <c r="D21">
        <v>10</v>
      </c>
      <c r="E21" s="1">
        <v>46066</v>
      </c>
      <c r="F21" t="s">
        <v>30</v>
      </c>
      <c r="G21" t="s">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B6EA4-EED2-475D-954B-284D8D2BBBB5}">
  <dimension ref="A1:K11"/>
  <sheetViews>
    <sheetView workbookViewId="0"/>
  </sheetViews>
  <sheetFormatPr defaultRowHeight="14.4" x14ac:dyDescent="0.3"/>
  <cols>
    <col min="1" max="1" width="8.21875" bestFit="1" customWidth="1"/>
    <col min="2" max="2" width="11.77734375" bestFit="1" customWidth="1"/>
    <col min="3" max="3" width="14.21875" bestFit="1" customWidth="1"/>
    <col min="4" max="4" width="15.44140625" bestFit="1" customWidth="1"/>
    <col min="5" max="5" width="21.33203125" bestFit="1" customWidth="1"/>
    <col min="6" max="6" width="18.44140625" bestFit="1" customWidth="1"/>
    <col min="7" max="7" width="13.21875" bestFit="1" customWidth="1"/>
    <col min="8" max="8" width="15.33203125" bestFit="1" customWidth="1"/>
    <col min="9" max="9" width="19.21875" bestFit="1" customWidth="1"/>
    <col min="10" max="10" width="14.77734375" bestFit="1" customWidth="1"/>
    <col min="11" max="11" width="11.6640625" bestFit="1" customWidth="1"/>
  </cols>
  <sheetData>
    <row r="1" spans="1:11" x14ac:dyDescent="0.3">
      <c r="A1" t="s">
        <v>34</v>
      </c>
      <c r="B1" t="s">
        <v>1</v>
      </c>
      <c r="C1" t="s">
        <v>0</v>
      </c>
      <c r="D1" t="s">
        <v>35</v>
      </c>
      <c r="E1" t="s">
        <v>36</v>
      </c>
      <c r="F1" t="s">
        <v>37</v>
      </c>
      <c r="G1" t="s">
        <v>38</v>
      </c>
      <c r="H1" t="s">
        <v>39</v>
      </c>
      <c r="I1" t="s">
        <v>40</v>
      </c>
      <c r="J1" t="s">
        <v>41</v>
      </c>
      <c r="K1" t="s">
        <v>42</v>
      </c>
    </row>
    <row r="2" spans="1:11" x14ac:dyDescent="0.3">
      <c r="A2">
        <v>1</v>
      </c>
      <c r="B2">
        <v>1</v>
      </c>
      <c r="C2">
        <v>1</v>
      </c>
      <c r="D2" s="1">
        <v>46036</v>
      </c>
      <c r="E2">
        <v>1200</v>
      </c>
      <c r="F2">
        <v>2500</v>
      </c>
      <c r="G2">
        <v>1200</v>
      </c>
      <c r="H2">
        <v>5000</v>
      </c>
      <c r="I2">
        <v>2500</v>
      </c>
      <c r="J2">
        <v>12400</v>
      </c>
      <c r="K2" t="s">
        <v>43</v>
      </c>
    </row>
    <row r="3" spans="1:11" x14ac:dyDescent="0.3">
      <c r="A3">
        <v>2</v>
      </c>
      <c r="B3">
        <v>3</v>
      </c>
      <c r="C3">
        <v>2</v>
      </c>
      <c r="D3" s="1">
        <v>46039</v>
      </c>
      <c r="E3">
        <v>900</v>
      </c>
      <c r="F3">
        <v>3000</v>
      </c>
      <c r="G3">
        <v>1500</v>
      </c>
      <c r="H3">
        <v>4500</v>
      </c>
      <c r="I3">
        <v>4500</v>
      </c>
      <c r="J3">
        <v>14400</v>
      </c>
      <c r="K3" t="s">
        <v>43</v>
      </c>
    </row>
    <row r="4" spans="1:11" x14ac:dyDescent="0.3">
      <c r="A4">
        <v>3</v>
      </c>
      <c r="B4">
        <v>5</v>
      </c>
      <c r="C4">
        <v>3</v>
      </c>
      <c r="D4" s="1">
        <v>46042</v>
      </c>
      <c r="E4">
        <v>1500</v>
      </c>
      <c r="F4">
        <v>3500</v>
      </c>
      <c r="G4">
        <v>2000</v>
      </c>
      <c r="H4">
        <v>6000</v>
      </c>
      <c r="I4">
        <v>3500</v>
      </c>
      <c r="J4">
        <v>16500</v>
      </c>
      <c r="K4" t="s">
        <v>43</v>
      </c>
    </row>
    <row r="5" spans="1:11" x14ac:dyDescent="0.3">
      <c r="A5">
        <v>4</v>
      </c>
      <c r="B5">
        <v>7</v>
      </c>
      <c r="C5">
        <v>4</v>
      </c>
      <c r="D5" s="1">
        <v>46042</v>
      </c>
      <c r="E5">
        <v>600</v>
      </c>
      <c r="F5">
        <v>2800</v>
      </c>
      <c r="G5">
        <v>1000</v>
      </c>
      <c r="H5">
        <v>2500</v>
      </c>
      <c r="I5">
        <v>2800</v>
      </c>
      <c r="J5">
        <v>9700</v>
      </c>
      <c r="K5" t="s">
        <v>44</v>
      </c>
    </row>
    <row r="6" spans="1:11" x14ac:dyDescent="0.3">
      <c r="A6">
        <v>5</v>
      </c>
      <c r="B6">
        <v>9</v>
      </c>
      <c r="C6">
        <v>5</v>
      </c>
      <c r="D6" s="1">
        <v>46049</v>
      </c>
      <c r="E6">
        <v>1100</v>
      </c>
      <c r="F6">
        <v>2200</v>
      </c>
      <c r="G6">
        <v>1800</v>
      </c>
      <c r="H6">
        <v>5500</v>
      </c>
      <c r="I6">
        <v>2200</v>
      </c>
      <c r="J6">
        <v>12800</v>
      </c>
      <c r="K6" t="s">
        <v>43</v>
      </c>
    </row>
    <row r="7" spans="1:11" x14ac:dyDescent="0.3">
      <c r="A7">
        <v>6</v>
      </c>
      <c r="B7">
        <v>12</v>
      </c>
      <c r="C7">
        <v>6</v>
      </c>
      <c r="D7" s="1">
        <v>46057</v>
      </c>
      <c r="E7">
        <v>1000</v>
      </c>
      <c r="F7">
        <v>3000</v>
      </c>
      <c r="G7">
        <v>1500</v>
      </c>
      <c r="H7">
        <v>4500</v>
      </c>
      <c r="I7">
        <v>3000</v>
      </c>
      <c r="J7">
        <v>13000</v>
      </c>
      <c r="K7" t="s">
        <v>43</v>
      </c>
    </row>
    <row r="8" spans="1:11" x14ac:dyDescent="0.3">
      <c r="A8">
        <v>7</v>
      </c>
      <c r="B8">
        <v>15</v>
      </c>
      <c r="C8">
        <v>7</v>
      </c>
      <c r="D8" s="1">
        <v>46065</v>
      </c>
      <c r="E8">
        <v>1500</v>
      </c>
      <c r="F8">
        <v>3500</v>
      </c>
      <c r="G8">
        <v>2000</v>
      </c>
      <c r="H8">
        <v>6000</v>
      </c>
      <c r="I8">
        <v>3500</v>
      </c>
      <c r="J8">
        <v>16500</v>
      </c>
      <c r="K8" t="s">
        <v>44</v>
      </c>
    </row>
    <row r="9" spans="1:11" x14ac:dyDescent="0.3">
      <c r="A9">
        <v>8</v>
      </c>
      <c r="B9">
        <v>17</v>
      </c>
      <c r="C9">
        <v>8</v>
      </c>
      <c r="D9" s="1">
        <v>46067</v>
      </c>
      <c r="E9">
        <v>600</v>
      </c>
      <c r="F9">
        <v>2800</v>
      </c>
      <c r="G9">
        <v>1000</v>
      </c>
      <c r="H9">
        <v>3000</v>
      </c>
      <c r="I9">
        <v>2800</v>
      </c>
      <c r="J9">
        <v>10200</v>
      </c>
      <c r="K9" t="s">
        <v>43</v>
      </c>
    </row>
    <row r="10" spans="1:11" x14ac:dyDescent="0.3">
      <c r="A10">
        <v>9</v>
      </c>
      <c r="B10">
        <v>19</v>
      </c>
      <c r="C10">
        <v>9</v>
      </c>
      <c r="D10" s="1">
        <v>46072</v>
      </c>
      <c r="E10">
        <v>1100</v>
      </c>
      <c r="F10">
        <v>2200</v>
      </c>
      <c r="G10">
        <v>1600</v>
      </c>
      <c r="H10">
        <v>5000</v>
      </c>
      <c r="I10">
        <v>2200</v>
      </c>
      <c r="J10">
        <v>12100</v>
      </c>
      <c r="K10" t="s">
        <v>43</v>
      </c>
    </row>
    <row r="11" spans="1:11" x14ac:dyDescent="0.3">
      <c r="A11">
        <v>10</v>
      </c>
      <c r="B11">
        <v>21</v>
      </c>
      <c r="C11">
        <v>10</v>
      </c>
      <c r="D11" s="1">
        <v>46078</v>
      </c>
      <c r="E11">
        <v>1200</v>
      </c>
      <c r="F11">
        <v>3000</v>
      </c>
      <c r="G11">
        <v>1800</v>
      </c>
      <c r="H11">
        <v>6000</v>
      </c>
      <c r="I11">
        <v>2500</v>
      </c>
      <c r="J11">
        <v>14500</v>
      </c>
      <c r="K11" t="s">
        <v>44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917DC-6174-4FEF-B388-A77E4C4FF902}">
  <dimension ref="A1:D11"/>
  <sheetViews>
    <sheetView workbookViewId="0"/>
  </sheetViews>
  <sheetFormatPr defaultRowHeight="14.4" x14ac:dyDescent="0.3"/>
  <cols>
    <col min="1" max="1" width="15.88671875" bestFit="1" customWidth="1"/>
    <col min="2" max="2" width="19.109375" bestFit="1" customWidth="1"/>
    <col min="3" max="3" width="10.44140625" bestFit="1" customWidth="1"/>
    <col min="4" max="4" width="18.109375" bestFit="1" customWidth="1"/>
  </cols>
  <sheetData>
    <row r="1" spans="1:4" x14ac:dyDescent="0.3">
      <c r="A1" t="s">
        <v>3</v>
      </c>
      <c r="B1" t="s">
        <v>45</v>
      </c>
      <c r="C1" t="s">
        <v>46</v>
      </c>
      <c r="D1" t="s">
        <v>47</v>
      </c>
    </row>
    <row r="2" spans="1:4" x14ac:dyDescent="0.3">
      <c r="A2">
        <v>1</v>
      </c>
      <c r="B2" t="s">
        <v>48</v>
      </c>
      <c r="C2">
        <v>2</v>
      </c>
      <c r="D2" t="s">
        <v>49</v>
      </c>
    </row>
    <row r="3" spans="1:4" x14ac:dyDescent="0.3">
      <c r="A3">
        <v>2</v>
      </c>
      <c r="B3" t="s">
        <v>50</v>
      </c>
      <c r="C3">
        <v>3</v>
      </c>
      <c r="D3" t="s">
        <v>49</v>
      </c>
    </row>
    <row r="4" spans="1:4" x14ac:dyDescent="0.3">
      <c r="A4">
        <v>3</v>
      </c>
      <c r="B4" t="s">
        <v>51</v>
      </c>
      <c r="C4">
        <v>2</v>
      </c>
      <c r="D4" t="s">
        <v>49</v>
      </c>
    </row>
    <row r="5" spans="1:4" x14ac:dyDescent="0.3">
      <c r="A5">
        <v>4</v>
      </c>
      <c r="B5" t="s">
        <v>52</v>
      </c>
      <c r="C5">
        <v>1</v>
      </c>
      <c r="D5" t="s">
        <v>49</v>
      </c>
    </row>
    <row r="6" spans="1:4" x14ac:dyDescent="0.3">
      <c r="A6">
        <v>5</v>
      </c>
      <c r="B6" t="s">
        <v>53</v>
      </c>
      <c r="C6">
        <v>4</v>
      </c>
      <c r="D6" t="s">
        <v>49</v>
      </c>
    </row>
    <row r="7" spans="1:4" x14ac:dyDescent="0.3">
      <c r="A7">
        <v>6</v>
      </c>
      <c r="B7" t="s">
        <v>54</v>
      </c>
      <c r="C7">
        <v>1</v>
      </c>
      <c r="D7" t="s">
        <v>49</v>
      </c>
    </row>
    <row r="8" spans="1:4" x14ac:dyDescent="0.3">
      <c r="A8">
        <v>7</v>
      </c>
      <c r="B8" t="s">
        <v>55</v>
      </c>
      <c r="C8">
        <v>1</v>
      </c>
      <c r="D8" t="s">
        <v>18</v>
      </c>
    </row>
    <row r="9" spans="1:4" x14ac:dyDescent="0.3">
      <c r="A9">
        <v>8</v>
      </c>
      <c r="B9" t="s">
        <v>56</v>
      </c>
      <c r="C9">
        <v>3</v>
      </c>
      <c r="D9" t="s">
        <v>49</v>
      </c>
    </row>
    <row r="10" spans="1:4" x14ac:dyDescent="0.3">
      <c r="A10">
        <v>9</v>
      </c>
      <c r="B10" t="s">
        <v>57</v>
      </c>
      <c r="C10">
        <v>4</v>
      </c>
      <c r="D10" t="s">
        <v>49</v>
      </c>
    </row>
    <row r="11" spans="1:4" x14ac:dyDescent="0.3">
      <c r="A11">
        <v>10</v>
      </c>
      <c r="B11" t="s">
        <v>58</v>
      </c>
      <c r="C11">
        <v>4</v>
      </c>
      <c r="D11" t="s">
        <v>49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B4E7D-E56B-4482-999E-F1FE5D7715AF}">
  <dimension ref="A1:G20"/>
  <sheetViews>
    <sheetView workbookViewId="0"/>
  </sheetViews>
  <sheetFormatPr defaultRowHeight="14.4" x14ac:dyDescent="0.3"/>
  <cols>
    <col min="1" max="1" width="13.5546875" bestFit="1" customWidth="1"/>
    <col min="2" max="2" width="11.77734375" bestFit="1" customWidth="1"/>
    <col min="3" max="3" width="11.33203125" bestFit="1" customWidth="1"/>
    <col min="4" max="5" width="16.88671875" bestFit="1" customWidth="1"/>
    <col min="6" max="6" width="15.88671875" bestFit="1" customWidth="1"/>
    <col min="7" max="7" width="9.77734375" bestFit="1" customWidth="1"/>
  </cols>
  <sheetData>
    <row r="1" spans="1:7" x14ac:dyDescent="0.3">
      <c r="A1" t="s">
        <v>59</v>
      </c>
      <c r="B1" t="s">
        <v>1</v>
      </c>
      <c r="C1" t="s">
        <v>2</v>
      </c>
      <c r="D1" t="s">
        <v>26</v>
      </c>
      <c r="E1" t="s">
        <v>60</v>
      </c>
      <c r="F1" t="s">
        <v>61</v>
      </c>
      <c r="G1" t="s">
        <v>62</v>
      </c>
    </row>
    <row r="2" spans="1:7" x14ac:dyDescent="0.3">
      <c r="A2">
        <v>1</v>
      </c>
      <c r="B2">
        <v>1</v>
      </c>
      <c r="C2">
        <v>1</v>
      </c>
      <c r="D2">
        <v>1</v>
      </c>
      <c r="E2" t="s">
        <v>63</v>
      </c>
      <c r="F2" s="1">
        <v>46032</v>
      </c>
      <c r="G2" t="s">
        <v>64</v>
      </c>
    </row>
    <row r="3" spans="1:7" x14ac:dyDescent="0.3">
      <c r="A3">
        <v>2</v>
      </c>
      <c r="B3">
        <v>2</v>
      </c>
      <c r="C3">
        <v>2</v>
      </c>
      <c r="D3">
        <v>2</v>
      </c>
      <c r="E3" t="s">
        <v>65</v>
      </c>
      <c r="F3" s="1">
        <v>46033</v>
      </c>
      <c r="G3" t="s">
        <v>64</v>
      </c>
    </row>
    <row r="4" spans="1:7" x14ac:dyDescent="0.3">
      <c r="A4">
        <v>3</v>
      </c>
      <c r="B4">
        <v>3</v>
      </c>
      <c r="C4">
        <v>3</v>
      </c>
      <c r="D4">
        <v>3</v>
      </c>
      <c r="E4" t="s">
        <v>66</v>
      </c>
      <c r="F4" s="1">
        <v>46034</v>
      </c>
      <c r="G4" t="s">
        <v>67</v>
      </c>
    </row>
    <row r="5" spans="1:7" x14ac:dyDescent="0.3">
      <c r="A5">
        <v>4</v>
      </c>
      <c r="B5">
        <v>4</v>
      </c>
      <c r="C5">
        <v>4</v>
      </c>
      <c r="D5">
        <v>4</v>
      </c>
      <c r="E5" t="s">
        <v>68</v>
      </c>
      <c r="F5" s="1">
        <v>46035</v>
      </c>
      <c r="G5" t="s">
        <v>69</v>
      </c>
    </row>
    <row r="6" spans="1:7" x14ac:dyDescent="0.3">
      <c r="A6">
        <v>5</v>
      </c>
      <c r="B6">
        <v>5</v>
      </c>
      <c r="C6">
        <v>5</v>
      </c>
      <c r="D6">
        <v>5</v>
      </c>
      <c r="E6" t="s">
        <v>70</v>
      </c>
      <c r="F6" s="1">
        <v>46037</v>
      </c>
      <c r="G6" t="s">
        <v>64</v>
      </c>
    </row>
    <row r="7" spans="1:7" x14ac:dyDescent="0.3">
      <c r="A7">
        <v>6</v>
      </c>
      <c r="B7">
        <v>6</v>
      </c>
      <c r="C7">
        <v>6</v>
      </c>
      <c r="D7">
        <v>6</v>
      </c>
      <c r="E7" t="s">
        <v>71</v>
      </c>
      <c r="F7" s="1">
        <v>46038</v>
      </c>
      <c r="G7" t="s">
        <v>69</v>
      </c>
    </row>
    <row r="8" spans="1:7" x14ac:dyDescent="0.3">
      <c r="A8">
        <v>7</v>
      </c>
      <c r="B8">
        <v>7</v>
      </c>
      <c r="C8">
        <v>7</v>
      </c>
      <c r="D8">
        <v>7</v>
      </c>
      <c r="E8" t="s">
        <v>72</v>
      </c>
      <c r="F8" s="1">
        <v>46040</v>
      </c>
      <c r="G8" t="s">
        <v>64</v>
      </c>
    </row>
    <row r="9" spans="1:7" x14ac:dyDescent="0.3">
      <c r="A9">
        <v>8</v>
      </c>
      <c r="B9">
        <v>8</v>
      </c>
      <c r="C9">
        <v>8</v>
      </c>
      <c r="D9">
        <v>8</v>
      </c>
      <c r="E9" t="s">
        <v>73</v>
      </c>
      <c r="F9" s="1">
        <v>46042</v>
      </c>
      <c r="G9" t="s">
        <v>69</v>
      </c>
    </row>
    <row r="10" spans="1:7" x14ac:dyDescent="0.3">
      <c r="A10">
        <v>9</v>
      </c>
      <c r="B10">
        <v>9</v>
      </c>
      <c r="C10">
        <v>9</v>
      </c>
      <c r="D10">
        <v>9</v>
      </c>
      <c r="E10" t="s">
        <v>74</v>
      </c>
      <c r="F10" s="1">
        <v>46043</v>
      </c>
      <c r="G10" t="s">
        <v>64</v>
      </c>
    </row>
    <row r="11" spans="1:7" x14ac:dyDescent="0.3">
      <c r="A11">
        <v>10</v>
      </c>
      <c r="B11">
        <v>10</v>
      </c>
      <c r="C11">
        <v>10</v>
      </c>
      <c r="D11">
        <v>10</v>
      </c>
      <c r="E11" t="s">
        <v>75</v>
      </c>
      <c r="F11" s="1">
        <v>46044</v>
      </c>
      <c r="G11" t="s">
        <v>64</v>
      </c>
    </row>
    <row r="12" spans="1:7" x14ac:dyDescent="0.3">
      <c r="A12">
        <v>11</v>
      </c>
      <c r="B12">
        <v>11</v>
      </c>
      <c r="C12">
        <v>1</v>
      </c>
      <c r="D12">
        <v>11</v>
      </c>
      <c r="E12" t="s">
        <v>63</v>
      </c>
      <c r="F12" s="1">
        <v>46047</v>
      </c>
      <c r="G12" t="s">
        <v>69</v>
      </c>
    </row>
    <row r="13" spans="1:7" x14ac:dyDescent="0.3">
      <c r="A13">
        <v>12</v>
      </c>
      <c r="B13">
        <v>12</v>
      </c>
      <c r="C13">
        <v>2</v>
      </c>
      <c r="D13">
        <v>12</v>
      </c>
      <c r="E13" t="s">
        <v>65</v>
      </c>
      <c r="F13" s="1">
        <v>46049</v>
      </c>
      <c r="G13" t="s">
        <v>64</v>
      </c>
    </row>
    <row r="14" spans="1:7" x14ac:dyDescent="0.3">
      <c r="A14">
        <v>13</v>
      </c>
      <c r="B14">
        <v>14</v>
      </c>
      <c r="C14">
        <v>4</v>
      </c>
      <c r="D14">
        <v>14</v>
      </c>
      <c r="E14" t="s">
        <v>76</v>
      </c>
      <c r="F14" s="1">
        <v>46054</v>
      </c>
      <c r="G14" t="s">
        <v>69</v>
      </c>
    </row>
    <row r="15" spans="1:7" x14ac:dyDescent="0.3">
      <c r="A15">
        <v>14</v>
      </c>
      <c r="B15">
        <v>15</v>
      </c>
      <c r="C15">
        <v>5</v>
      </c>
      <c r="D15">
        <v>15</v>
      </c>
      <c r="E15" t="s">
        <v>70</v>
      </c>
      <c r="F15" s="1">
        <v>46056</v>
      </c>
      <c r="G15" t="s">
        <v>67</v>
      </c>
    </row>
    <row r="16" spans="1:7" x14ac:dyDescent="0.3">
      <c r="A16">
        <v>15</v>
      </c>
      <c r="B16">
        <v>16</v>
      </c>
      <c r="C16">
        <v>6</v>
      </c>
      <c r="D16">
        <v>16</v>
      </c>
      <c r="E16" t="s">
        <v>71</v>
      </c>
      <c r="F16" s="1">
        <v>46058</v>
      </c>
      <c r="G16" t="s">
        <v>69</v>
      </c>
    </row>
    <row r="17" spans="1:7" x14ac:dyDescent="0.3">
      <c r="A17">
        <v>16</v>
      </c>
      <c r="B17">
        <v>17</v>
      </c>
      <c r="C17">
        <v>7</v>
      </c>
      <c r="D17">
        <v>17</v>
      </c>
      <c r="E17" t="s">
        <v>72</v>
      </c>
      <c r="F17" s="1">
        <v>46060</v>
      </c>
      <c r="G17" t="s">
        <v>64</v>
      </c>
    </row>
    <row r="18" spans="1:7" x14ac:dyDescent="0.3">
      <c r="A18">
        <v>17</v>
      </c>
      <c r="B18">
        <v>18</v>
      </c>
      <c r="C18">
        <v>8</v>
      </c>
      <c r="D18">
        <v>18</v>
      </c>
      <c r="E18" t="s">
        <v>77</v>
      </c>
      <c r="F18" s="1">
        <v>46062</v>
      </c>
      <c r="G18" t="s">
        <v>69</v>
      </c>
    </row>
    <row r="19" spans="1:7" x14ac:dyDescent="0.3">
      <c r="A19">
        <v>18</v>
      </c>
      <c r="B19">
        <v>19</v>
      </c>
      <c r="C19">
        <v>9</v>
      </c>
      <c r="D19">
        <v>19</v>
      </c>
      <c r="E19" t="s">
        <v>78</v>
      </c>
      <c r="F19" s="1">
        <v>46064</v>
      </c>
      <c r="G19" t="s">
        <v>64</v>
      </c>
    </row>
    <row r="20" spans="1:7" x14ac:dyDescent="0.3">
      <c r="A20">
        <v>19</v>
      </c>
      <c r="B20">
        <v>20</v>
      </c>
      <c r="C20">
        <v>10</v>
      </c>
      <c r="D20">
        <v>20</v>
      </c>
      <c r="E20" t="s">
        <v>75</v>
      </c>
      <c r="F20" s="1">
        <v>46066</v>
      </c>
      <c r="G20" t="s">
        <v>64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5EFD8-D4A4-4456-97DF-AAE889D8AC9D}">
  <dimension ref="A1:G11"/>
  <sheetViews>
    <sheetView workbookViewId="0"/>
  </sheetViews>
  <sheetFormatPr defaultRowHeight="14.4" x14ac:dyDescent="0.3"/>
  <cols>
    <col min="1" max="1" width="11.33203125" bestFit="1" customWidth="1"/>
    <col min="2" max="2" width="17.77734375" bestFit="1" customWidth="1"/>
    <col min="3" max="3" width="9.109375" bestFit="1" customWidth="1"/>
    <col min="4" max="4" width="16.33203125" bestFit="1" customWidth="1"/>
    <col min="5" max="5" width="15.88671875" bestFit="1" customWidth="1"/>
    <col min="6" max="6" width="17.88671875" bestFit="1" customWidth="1"/>
    <col min="7" max="7" width="17.44140625" bestFit="1" customWidth="1"/>
  </cols>
  <sheetData>
    <row r="1" spans="1:7" x14ac:dyDescent="0.3">
      <c r="A1" t="s">
        <v>2</v>
      </c>
      <c r="B1" t="s">
        <v>79</v>
      </c>
      <c r="C1" t="s">
        <v>80</v>
      </c>
      <c r="D1" t="s">
        <v>81</v>
      </c>
      <c r="E1" t="s">
        <v>3</v>
      </c>
      <c r="F1" t="s">
        <v>82</v>
      </c>
      <c r="G1" t="s">
        <v>83</v>
      </c>
    </row>
    <row r="2" spans="1:7" x14ac:dyDescent="0.3">
      <c r="A2">
        <v>1</v>
      </c>
      <c r="B2" t="s">
        <v>84</v>
      </c>
      <c r="C2" t="s">
        <v>85</v>
      </c>
      <c r="D2" t="s">
        <v>86</v>
      </c>
      <c r="E2">
        <v>1</v>
      </c>
      <c r="F2">
        <v>15</v>
      </c>
      <c r="G2">
        <v>1200</v>
      </c>
    </row>
    <row r="3" spans="1:7" x14ac:dyDescent="0.3">
      <c r="A3">
        <v>2</v>
      </c>
      <c r="B3" t="s">
        <v>87</v>
      </c>
      <c r="C3" t="s">
        <v>88</v>
      </c>
      <c r="D3" t="s">
        <v>89</v>
      </c>
      <c r="E3">
        <v>2</v>
      </c>
      <c r="F3">
        <v>10</v>
      </c>
      <c r="G3">
        <v>1000</v>
      </c>
    </row>
    <row r="4" spans="1:7" x14ac:dyDescent="0.3">
      <c r="A4">
        <v>3</v>
      </c>
      <c r="B4" t="s">
        <v>90</v>
      </c>
      <c r="C4" t="s">
        <v>85</v>
      </c>
      <c r="D4" t="s">
        <v>91</v>
      </c>
      <c r="E4">
        <v>3</v>
      </c>
      <c r="F4">
        <v>12</v>
      </c>
      <c r="G4">
        <v>900</v>
      </c>
    </row>
    <row r="5" spans="1:7" x14ac:dyDescent="0.3">
      <c r="A5">
        <v>4</v>
      </c>
      <c r="B5" t="s">
        <v>92</v>
      </c>
      <c r="C5" t="s">
        <v>88</v>
      </c>
      <c r="D5" t="s">
        <v>93</v>
      </c>
      <c r="E5">
        <v>4</v>
      </c>
      <c r="F5">
        <v>8</v>
      </c>
      <c r="G5">
        <v>800</v>
      </c>
    </row>
    <row r="6" spans="1:7" x14ac:dyDescent="0.3">
      <c r="A6">
        <v>5</v>
      </c>
      <c r="B6" t="s">
        <v>94</v>
      </c>
      <c r="C6" t="s">
        <v>85</v>
      </c>
      <c r="D6" t="s">
        <v>95</v>
      </c>
      <c r="E6">
        <v>5</v>
      </c>
      <c r="F6">
        <v>18</v>
      </c>
      <c r="G6">
        <v>1500</v>
      </c>
    </row>
    <row r="7" spans="1:7" x14ac:dyDescent="0.3">
      <c r="A7">
        <v>6</v>
      </c>
      <c r="B7" t="s">
        <v>96</v>
      </c>
      <c r="C7" t="s">
        <v>88</v>
      </c>
      <c r="D7" t="s">
        <v>97</v>
      </c>
      <c r="E7">
        <v>6</v>
      </c>
      <c r="F7">
        <v>7</v>
      </c>
      <c r="G7">
        <v>700</v>
      </c>
    </row>
    <row r="8" spans="1:7" x14ac:dyDescent="0.3">
      <c r="A8">
        <v>7</v>
      </c>
      <c r="B8" t="s">
        <v>98</v>
      </c>
      <c r="C8" t="s">
        <v>85</v>
      </c>
      <c r="D8" t="s">
        <v>99</v>
      </c>
      <c r="E8">
        <v>7</v>
      </c>
      <c r="F8">
        <v>14</v>
      </c>
      <c r="G8">
        <v>600</v>
      </c>
    </row>
    <row r="9" spans="1:7" x14ac:dyDescent="0.3">
      <c r="A9">
        <v>8</v>
      </c>
      <c r="B9" t="s">
        <v>100</v>
      </c>
      <c r="C9" t="s">
        <v>88</v>
      </c>
      <c r="D9" t="s">
        <v>101</v>
      </c>
      <c r="E9">
        <v>8</v>
      </c>
      <c r="F9">
        <v>9</v>
      </c>
      <c r="G9">
        <v>750</v>
      </c>
    </row>
    <row r="10" spans="1:7" x14ac:dyDescent="0.3">
      <c r="A10">
        <v>9</v>
      </c>
      <c r="B10" t="s">
        <v>102</v>
      </c>
      <c r="C10" t="s">
        <v>85</v>
      </c>
      <c r="D10" t="s">
        <v>103</v>
      </c>
      <c r="E10">
        <v>9</v>
      </c>
      <c r="F10">
        <v>11</v>
      </c>
      <c r="G10">
        <v>1100</v>
      </c>
    </row>
    <row r="11" spans="1:7" x14ac:dyDescent="0.3">
      <c r="A11">
        <v>10</v>
      </c>
      <c r="B11" t="s">
        <v>104</v>
      </c>
      <c r="C11" t="s">
        <v>88</v>
      </c>
      <c r="D11" t="s">
        <v>105</v>
      </c>
      <c r="E11">
        <v>10</v>
      </c>
      <c r="F11">
        <v>13</v>
      </c>
      <c r="G11">
        <v>1300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DEE65-D65B-4BFC-83EC-D609196101BE}">
  <dimension ref="A1:G11"/>
  <sheetViews>
    <sheetView workbookViewId="0"/>
  </sheetViews>
  <sheetFormatPr defaultRowHeight="14.4" x14ac:dyDescent="0.3"/>
  <cols>
    <col min="1" max="1" width="14.21875" bestFit="1" customWidth="1"/>
    <col min="2" max="2" width="11.77734375" bestFit="1" customWidth="1"/>
    <col min="3" max="3" width="14.21875" bestFit="1" customWidth="1"/>
    <col min="4" max="5" width="15.44140625" bestFit="1" customWidth="1"/>
    <col min="6" max="6" width="12.44140625" bestFit="1" customWidth="1"/>
    <col min="7" max="7" width="11" bestFit="1" customWidth="1"/>
  </cols>
  <sheetData>
    <row r="1" spans="1:7" x14ac:dyDescent="0.3">
      <c r="A1" t="s">
        <v>106</v>
      </c>
      <c r="B1" t="s">
        <v>1</v>
      </c>
      <c r="C1" t="s">
        <v>0</v>
      </c>
      <c r="D1" t="s">
        <v>107</v>
      </c>
      <c r="E1" t="s">
        <v>108</v>
      </c>
      <c r="F1" t="s">
        <v>109</v>
      </c>
      <c r="G1" t="s">
        <v>110</v>
      </c>
    </row>
    <row r="2" spans="1:7" x14ac:dyDescent="0.3">
      <c r="A2">
        <v>1</v>
      </c>
      <c r="B2">
        <v>1</v>
      </c>
      <c r="C2">
        <v>1</v>
      </c>
      <c r="D2" s="1">
        <v>46032.395833333336</v>
      </c>
      <c r="E2" s="1">
        <v>46036.625</v>
      </c>
      <c r="F2" t="s">
        <v>111</v>
      </c>
      <c r="G2" t="s">
        <v>112</v>
      </c>
    </row>
    <row r="3" spans="1:7" x14ac:dyDescent="0.3">
      <c r="A3">
        <v>2</v>
      </c>
      <c r="B3">
        <v>3</v>
      </c>
      <c r="C3">
        <v>2</v>
      </c>
      <c r="D3" s="1">
        <v>46034.458333333336</v>
      </c>
      <c r="E3" s="1">
        <v>46039.5625</v>
      </c>
      <c r="F3" t="s">
        <v>111</v>
      </c>
      <c r="G3" t="s">
        <v>112</v>
      </c>
    </row>
    <row r="4" spans="1:7" x14ac:dyDescent="0.3">
      <c r="A4">
        <v>3</v>
      </c>
      <c r="B4">
        <v>5</v>
      </c>
      <c r="C4">
        <v>3</v>
      </c>
      <c r="D4" s="1">
        <v>46037.364583333336</v>
      </c>
      <c r="E4" s="1">
        <v>46042.666666666664</v>
      </c>
      <c r="F4" t="s">
        <v>111</v>
      </c>
      <c r="G4" t="s">
        <v>112</v>
      </c>
    </row>
    <row r="5" spans="1:7" x14ac:dyDescent="0.3">
      <c r="A5">
        <v>4</v>
      </c>
      <c r="B5">
        <v>7</v>
      </c>
      <c r="C5">
        <v>4</v>
      </c>
      <c r="D5" s="1">
        <v>46040.416666666664</v>
      </c>
      <c r="E5" s="1">
        <v>46042.5</v>
      </c>
      <c r="F5" t="s">
        <v>111</v>
      </c>
      <c r="G5" t="s">
        <v>112</v>
      </c>
    </row>
    <row r="6" spans="1:7" x14ac:dyDescent="0.3">
      <c r="A6">
        <v>5</v>
      </c>
      <c r="B6">
        <v>9</v>
      </c>
      <c r="C6">
        <v>5</v>
      </c>
      <c r="D6" s="1">
        <v>46044.583333333336</v>
      </c>
      <c r="E6" s="1">
        <v>46049.479166666664</v>
      </c>
      <c r="F6" t="s">
        <v>111</v>
      </c>
      <c r="G6" t="s">
        <v>112</v>
      </c>
    </row>
    <row r="7" spans="1:7" x14ac:dyDescent="0.3">
      <c r="A7">
        <v>6</v>
      </c>
      <c r="B7">
        <v>12</v>
      </c>
      <c r="C7">
        <v>6</v>
      </c>
      <c r="D7" s="1">
        <v>46054.385416666664</v>
      </c>
      <c r="E7" s="1">
        <v>46057.583333333336</v>
      </c>
      <c r="F7" t="s">
        <v>111</v>
      </c>
      <c r="G7" t="s">
        <v>112</v>
      </c>
    </row>
    <row r="8" spans="1:7" x14ac:dyDescent="0.3">
      <c r="A8">
        <v>7</v>
      </c>
      <c r="B8">
        <v>15</v>
      </c>
      <c r="C8">
        <v>7</v>
      </c>
      <c r="D8" s="1">
        <v>46060.520833333336</v>
      </c>
      <c r="E8" s="1">
        <v>46065.645833333336</v>
      </c>
      <c r="F8" t="s">
        <v>111</v>
      </c>
      <c r="G8" t="s">
        <v>112</v>
      </c>
    </row>
    <row r="9" spans="1:7" x14ac:dyDescent="0.3">
      <c r="A9">
        <v>8</v>
      </c>
      <c r="B9">
        <v>17</v>
      </c>
      <c r="C9">
        <v>8</v>
      </c>
      <c r="D9" s="1">
        <v>46064.4375</v>
      </c>
      <c r="E9" s="1">
        <v>46067.541666666664</v>
      </c>
      <c r="F9" t="s">
        <v>111</v>
      </c>
      <c r="G9" t="s">
        <v>112</v>
      </c>
    </row>
    <row r="10" spans="1:7" x14ac:dyDescent="0.3">
      <c r="A10">
        <v>9</v>
      </c>
      <c r="B10">
        <v>19</v>
      </c>
      <c r="C10">
        <v>9</v>
      </c>
      <c r="D10" s="1">
        <v>46068.375</v>
      </c>
      <c r="E10" s="1">
        <v>46072.6875</v>
      </c>
      <c r="F10" t="s">
        <v>111</v>
      </c>
      <c r="G10" t="s">
        <v>112</v>
      </c>
    </row>
    <row r="11" spans="1:7" x14ac:dyDescent="0.3">
      <c r="A11">
        <v>10</v>
      </c>
      <c r="B11">
        <v>21</v>
      </c>
      <c r="C11">
        <v>10</v>
      </c>
      <c r="D11" s="1">
        <v>46073.489583333336</v>
      </c>
      <c r="E11" s="1">
        <v>46078.604166666664</v>
      </c>
      <c r="F11" t="s">
        <v>111</v>
      </c>
      <c r="G11" t="s">
        <v>112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F9EF3-3A0E-4672-8F58-4A8EBAEA1CE1}">
  <dimension ref="A1:H51"/>
  <sheetViews>
    <sheetView topLeftCell="A47" workbookViewId="0"/>
  </sheetViews>
  <sheetFormatPr defaultRowHeight="14.4" x14ac:dyDescent="0.3"/>
  <cols>
    <col min="1" max="1" width="11.77734375" bestFit="1" customWidth="1"/>
    <col min="2" max="2" width="15" bestFit="1" customWidth="1"/>
    <col min="3" max="3" width="9.109375" bestFit="1" customWidth="1"/>
    <col min="4" max="4" width="6.21875" bestFit="1" customWidth="1"/>
    <col min="5" max="5" width="12.5546875" bestFit="1" customWidth="1"/>
    <col min="6" max="6" width="14.109375" bestFit="1" customWidth="1"/>
    <col min="7" max="7" width="17.6640625" bestFit="1" customWidth="1"/>
    <col min="8" max="8" width="13.88671875" bestFit="1" customWidth="1"/>
    <col min="9" max="9" width="17.44140625" bestFit="1" customWidth="1"/>
  </cols>
  <sheetData>
    <row r="1" spans="1:8" x14ac:dyDescent="0.3">
      <c r="A1" t="s">
        <v>1</v>
      </c>
      <c r="B1" t="s">
        <v>113</v>
      </c>
      <c r="C1" t="s">
        <v>80</v>
      </c>
      <c r="D1" t="s">
        <v>114</v>
      </c>
      <c r="E1" t="s">
        <v>115</v>
      </c>
      <c r="F1" t="s">
        <v>116</v>
      </c>
      <c r="G1" t="s">
        <v>117</v>
      </c>
      <c r="H1" t="s">
        <v>238</v>
      </c>
    </row>
    <row r="2" spans="1:8" x14ac:dyDescent="0.3">
      <c r="A2">
        <v>1</v>
      </c>
      <c r="B2" t="s">
        <v>118</v>
      </c>
      <c r="C2" t="s">
        <v>85</v>
      </c>
      <c r="D2">
        <v>32</v>
      </c>
      <c r="E2" t="s">
        <v>119</v>
      </c>
      <c r="F2" t="s">
        <v>120</v>
      </c>
      <c r="G2" s="1">
        <v>46027</v>
      </c>
      <c r="H2">
        <v>1</v>
      </c>
    </row>
    <row r="3" spans="1:8" x14ac:dyDescent="0.3">
      <c r="A3">
        <v>2</v>
      </c>
      <c r="B3" t="s">
        <v>121</v>
      </c>
      <c r="C3" t="s">
        <v>88</v>
      </c>
      <c r="D3">
        <v>28</v>
      </c>
      <c r="E3" t="s">
        <v>122</v>
      </c>
      <c r="F3" t="s">
        <v>123</v>
      </c>
      <c r="G3" s="1">
        <v>46028</v>
      </c>
      <c r="H3">
        <v>2</v>
      </c>
    </row>
    <row r="4" spans="1:8" x14ac:dyDescent="0.3">
      <c r="A4">
        <v>3</v>
      </c>
      <c r="B4" t="s">
        <v>124</v>
      </c>
      <c r="C4" t="s">
        <v>85</v>
      </c>
      <c r="D4">
        <v>45</v>
      </c>
      <c r="E4" t="s">
        <v>125</v>
      </c>
      <c r="F4" t="s">
        <v>126</v>
      </c>
      <c r="G4" s="1">
        <v>46030</v>
      </c>
      <c r="H4">
        <v>3</v>
      </c>
    </row>
    <row r="5" spans="1:8" x14ac:dyDescent="0.3">
      <c r="A5">
        <v>4</v>
      </c>
      <c r="B5" t="s">
        <v>127</v>
      </c>
      <c r="C5" t="s">
        <v>88</v>
      </c>
      <c r="D5">
        <v>35</v>
      </c>
      <c r="E5" t="s">
        <v>119</v>
      </c>
      <c r="F5" t="s">
        <v>128</v>
      </c>
      <c r="G5" s="1">
        <v>46032</v>
      </c>
      <c r="H5">
        <v>4</v>
      </c>
    </row>
    <row r="6" spans="1:8" x14ac:dyDescent="0.3">
      <c r="A6">
        <v>5</v>
      </c>
      <c r="B6" t="s">
        <v>129</v>
      </c>
      <c r="C6" t="s">
        <v>85</v>
      </c>
      <c r="D6">
        <v>52</v>
      </c>
      <c r="E6" t="s">
        <v>122</v>
      </c>
      <c r="F6" t="s">
        <v>120</v>
      </c>
      <c r="G6" s="1">
        <v>46034</v>
      </c>
      <c r="H6">
        <v>5</v>
      </c>
    </row>
    <row r="7" spans="1:8" x14ac:dyDescent="0.3">
      <c r="A7">
        <v>6</v>
      </c>
      <c r="B7" t="s">
        <v>130</v>
      </c>
      <c r="C7" t="s">
        <v>88</v>
      </c>
      <c r="D7">
        <v>24</v>
      </c>
      <c r="E7" t="s">
        <v>131</v>
      </c>
      <c r="F7" t="s">
        <v>123</v>
      </c>
      <c r="G7" s="1">
        <v>46037</v>
      </c>
      <c r="H7">
        <v>6</v>
      </c>
    </row>
    <row r="8" spans="1:8" x14ac:dyDescent="0.3">
      <c r="A8">
        <v>7</v>
      </c>
      <c r="B8" t="s">
        <v>132</v>
      </c>
      <c r="C8" t="s">
        <v>85</v>
      </c>
      <c r="D8">
        <v>39</v>
      </c>
      <c r="E8" t="s">
        <v>119</v>
      </c>
      <c r="F8" t="s">
        <v>133</v>
      </c>
      <c r="G8" s="1">
        <v>46039</v>
      </c>
      <c r="H8">
        <v>7</v>
      </c>
    </row>
    <row r="9" spans="1:8" x14ac:dyDescent="0.3">
      <c r="A9">
        <v>8</v>
      </c>
      <c r="B9" t="s">
        <v>134</v>
      </c>
      <c r="C9" t="s">
        <v>88</v>
      </c>
      <c r="D9">
        <v>31</v>
      </c>
      <c r="E9" t="s">
        <v>125</v>
      </c>
      <c r="F9" t="s">
        <v>120</v>
      </c>
      <c r="G9" s="1">
        <v>46042</v>
      </c>
      <c r="H9">
        <v>8</v>
      </c>
    </row>
    <row r="10" spans="1:8" x14ac:dyDescent="0.3">
      <c r="A10">
        <v>9</v>
      </c>
      <c r="B10" t="s">
        <v>135</v>
      </c>
      <c r="C10" t="s">
        <v>85</v>
      </c>
      <c r="D10">
        <v>61</v>
      </c>
      <c r="E10" t="s">
        <v>122</v>
      </c>
      <c r="F10" t="s">
        <v>136</v>
      </c>
      <c r="G10" s="1">
        <v>46044</v>
      </c>
      <c r="H10">
        <v>9</v>
      </c>
    </row>
    <row r="11" spans="1:8" x14ac:dyDescent="0.3">
      <c r="A11">
        <v>10</v>
      </c>
      <c r="B11" t="s">
        <v>137</v>
      </c>
      <c r="C11" t="s">
        <v>88</v>
      </c>
      <c r="D11">
        <v>42</v>
      </c>
      <c r="E11" t="s">
        <v>119</v>
      </c>
      <c r="F11" t="s">
        <v>126</v>
      </c>
      <c r="G11" s="1">
        <v>46047</v>
      </c>
      <c r="H11">
        <v>10</v>
      </c>
    </row>
    <row r="12" spans="1:8" x14ac:dyDescent="0.3">
      <c r="A12">
        <v>11</v>
      </c>
      <c r="B12" t="s">
        <v>138</v>
      </c>
      <c r="C12" t="s">
        <v>85</v>
      </c>
      <c r="D12">
        <v>29</v>
      </c>
      <c r="E12" t="s">
        <v>119</v>
      </c>
      <c r="F12" t="s">
        <v>120</v>
      </c>
      <c r="G12" s="1">
        <v>46050</v>
      </c>
      <c r="H12">
        <v>1</v>
      </c>
    </row>
    <row r="13" spans="1:8" x14ac:dyDescent="0.3">
      <c r="A13">
        <v>12</v>
      </c>
      <c r="B13" t="s">
        <v>139</v>
      </c>
      <c r="C13" t="s">
        <v>88</v>
      </c>
      <c r="D13">
        <v>37</v>
      </c>
      <c r="E13" t="s">
        <v>122</v>
      </c>
      <c r="F13" t="s">
        <v>123</v>
      </c>
      <c r="G13" s="1">
        <v>46054</v>
      </c>
      <c r="H13">
        <v>2</v>
      </c>
    </row>
    <row r="14" spans="1:8" x14ac:dyDescent="0.3">
      <c r="A14">
        <v>13</v>
      </c>
      <c r="B14" t="s">
        <v>140</v>
      </c>
      <c r="C14" t="s">
        <v>85</v>
      </c>
      <c r="D14">
        <v>48</v>
      </c>
      <c r="E14" t="s">
        <v>125</v>
      </c>
      <c r="F14" t="s">
        <v>126</v>
      </c>
      <c r="G14" s="1">
        <v>46056</v>
      </c>
      <c r="H14">
        <v>3</v>
      </c>
    </row>
    <row r="15" spans="1:8" x14ac:dyDescent="0.3">
      <c r="A15">
        <v>14</v>
      </c>
      <c r="B15" t="s">
        <v>141</v>
      </c>
      <c r="C15" t="s">
        <v>88</v>
      </c>
      <c r="D15">
        <v>26</v>
      </c>
      <c r="E15" t="s">
        <v>119</v>
      </c>
      <c r="F15" t="s">
        <v>142</v>
      </c>
      <c r="G15" s="1">
        <v>46058</v>
      </c>
      <c r="H15">
        <v>4</v>
      </c>
    </row>
    <row r="16" spans="1:8" x14ac:dyDescent="0.3">
      <c r="A16">
        <v>15</v>
      </c>
      <c r="B16" t="s">
        <v>143</v>
      </c>
      <c r="C16" t="s">
        <v>85</v>
      </c>
      <c r="D16">
        <v>55</v>
      </c>
      <c r="E16" t="s">
        <v>122</v>
      </c>
      <c r="F16" t="s">
        <v>128</v>
      </c>
      <c r="G16" s="1">
        <v>46060</v>
      </c>
      <c r="H16">
        <v>5</v>
      </c>
    </row>
    <row r="17" spans="1:8" x14ac:dyDescent="0.3">
      <c r="A17">
        <v>16</v>
      </c>
      <c r="B17" t="s">
        <v>144</v>
      </c>
      <c r="C17" t="s">
        <v>88</v>
      </c>
      <c r="D17">
        <v>30</v>
      </c>
      <c r="E17" t="s">
        <v>131</v>
      </c>
      <c r="F17" t="s">
        <v>123</v>
      </c>
      <c r="G17" s="1">
        <v>46062</v>
      </c>
      <c r="H17">
        <v>6</v>
      </c>
    </row>
    <row r="18" spans="1:8" x14ac:dyDescent="0.3">
      <c r="A18">
        <v>17</v>
      </c>
      <c r="B18" t="s">
        <v>145</v>
      </c>
      <c r="C18" t="s">
        <v>85</v>
      </c>
      <c r="D18">
        <v>44</v>
      </c>
      <c r="E18" t="s">
        <v>119</v>
      </c>
      <c r="F18" t="s">
        <v>126</v>
      </c>
      <c r="G18" s="1">
        <v>46064</v>
      </c>
      <c r="H18">
        <v>7</v>
      </c>
    </row>
    <row r="19" spans="1:8" x14ac:dyDescent="0.3">
      <c r="A19">
        <v>18</v>
      </c>
      <c r="B19" t="s">
        <v>146</v>
      </c>
      <c r="C19" t="s">
        <v>88</v>
      </c>
      <c r="D19">
        <v>22</v>
      </c>
      <c r="E19" t="s">
        <v>125</v>
      </c>
      <c r="F19" t="s">
        <v>120</v>
      </c>
      <c r="G19" s="1">
        <v>46066</v>
      </c>
      <c r="H19">
        <v>8</v>
      </c>
    </row>
    <row r="20" spans="1:8" x14ac:dyDescent="0.3">
      <c r="A20">
        <v>19</v>
      </c>
      <c r="B20" t="s">
        <v>147</v>
      </c>
      <c r="C20" t="s">
        <v>85</v>
      </c>
      <c r="D20">
        <v>67</v>
      </c>
      <c r="E20" t="s">
        <v>122</v>
      </c>
      <c r="F20" t="s">
        <v>123</v>
      </c>
      <c r="G20" s="1">
        <v>46068</v>
      </c>
      <c r="H20">
        <v>9</v>
      </c>
    </row>
    <row r="21" spans="1:8" x14ac:dyDescent="0.3">
      <c r="A21">
        <v>20</v>
      </c>
      <c r="B21" t="s">
        <v>148</v>
      </c>
      <c r="C21" t="s">
        <v>88</v>
      </c>
      <c r="D21">
        <v>33</v>
      </c>
      <c r="E21" t="s">
        <v>119</v>
      </c>
      <c r="F21" t="s">
        <v>128</v>
      </c>
      <c r="G21" s="1">
        <v>46071</v>
      </c>
      <c r="H21">
        <v>10</v>
      </c>
    </row>
    <row r="22" spans="1:8" x14ac:dyDescent="0.3">
      <c r="A22">
        <v>21</v>
      </c>
      <c r="B22" t="s">
        <v>149</v>
      </c>
      <c r="C22" t="s">
        <v>85</v>
      </c>
      <c r="D22">
        <v>41</v>
      </c>
      <c r="E22" t="s">
        <v>119</v>
      </c>
      <c r="F22" t="s">
        <v>120</v>
      </c>
      <c r="G22" s="1">
        <v>46073</v>
      </c>
      <c r="H22">
        <v>1</v>
      </c>
    </row>
    <row r="23" spans="1:8" x14ac:dyDescent="0.3">
      <c r="A23">
        <v>22</v>
      </c>
      <c r="B23" t="s">
        <v>150</v>
      </c>
      <c r="C23" t="s">
        <v>88</v>
      </c>
      <c r="D23">
        <v>29</v>
      </c>
      <c r="E23" t="s">
        <v>122</v>
      </c>
      <c r="F23" t="s">
        <v>123</v>
      </c>
      <c r="G23" s="1">
        <v>46075</v>
      </c>
      <c r="H23">
        <v>2</v>
      </c>
    </row>
    <row r="24" spans="1:8" x14ac:dyDescent="0.3">
      <c r="A24">
        <v>23</v>
      </c>
      <c r="B24" t="s">
        <v>151</v>
      </c>
      <c r="C24" t="s">
        <v>85</v>
      </c>
      <c r="D24">
        <v>58</v>
      </c>
      <c r="E24" t="s">
        <v>125</v>
      </c>
      <c r="F24" t="s">
        <v>126</v>
      </c>
      <c r="G24" s="1">
        <v>46077</v>
      </c>
      <c r="H24">
        <v>3</v>
      </c>
    </row>
    <row r="25" spans="1:8" x14ac:dyDescent="0.3">
      <c r="A25">
        <v>24</v>
      </c>
      <c r="B25" t="s">
        <v>152</v>
      </c>
      <c r="C25" t="s">
        <v>88</v>
      </c>
      <c r="D25">
        <v>36</v>
      </c>
      <c r="E25" t="s">
        <v>119</v>
      </c>
      <c r="F25" t="s">
        <v>120</v>
      </c>
      <c r="G25" s="1">
        <v>46079</v>
      </c>
      <c r="H25">
        <v>4</v>
      </c>
    </row>
    <row r="26" spans="1:8" x14ac:dyDescent="0.3">
      <c r="A26">
        <v>25</v>
      </c>
      <c r="B26" t="s">
        <v>153</v>
      </c>
      <c r="C26" t="s">
        <v>85</v>
      </c>
      <c r="D26">
        <v>47</v>
      </c>
      <c r="E26" t="s">
        <v>122</v>
      </c>
      <c r="F26" t="s">
        <v>136</v>
      </c>
      <c r="G26" s="1">
        <v>46082</v>
      </c>
      <c r="H26">
        <v>5</v>
      </c>
    </row>
    <row r="27" spans="1:8" x14ac:dyDescent="0.3">
      <c r="A27">
        <v>26</v>
      </c>
      <c r="B27" t="s">
        <v>154</v>
      </c>
      <c r="C27" t="s">
        <v>88</v>
      </c>
      <c r="D27">
        <v>25</v>
      </c>
      <c r="E27" t="s">
        <v>131</v>
      </c>
      <c r="F27" t="s">
        <v>126</v>
      </c>
      <c r="G27" s="1">
        <v>46084</v>
      </c>
      <c r="H27">
        <v>6</v>
      </c>
    </row>
    <row r="28" spans="1:8" x14ac:dyDescent="0.3">
      <c r="A28">
        <v>27</v>
      </c>
      <c r="B28" t="s">
        <v>155</v>
      </c>
      <c r="C28" t="s">
        <v>85</v>
      </c>
      <c r="D28">
        <v>34</v>
      </c>
      <c r="E28" t="s">
        <v>119</v>
      </c>
      <c r="F28" t="s">
        <v>120</v>
      </c>
      <c r="G28" s="1">
        <v>46086</v>
      </c>
      <c r="H28">
        <v>7</v>
      </c>
    </row>
    <row r="29" spans="1:8" x14ac:dyDescent="0.3">
      <c r="A29">
        <v>28</v>
      </c>
      <c r="B29" t="s">
        <v>156</v>
      </c>
      <c r="C29" t="s">
        <v>88</v>
      </c>
      <c r="D29">
        <v>40</v>
      </c>
      <c r="E29" t="s">
        <v>125</v>
      </c>
      <c r="F29" t="s">
        <v>123</v>
      </c>
      <c r="G29" s="1">
        <v>46088</v>
      </c>
      <c r="H29">
        <v>8</v>
      </c>
    </row>
    <row r="30" spans="1:8" x14ac:dyDescent="0.3">
      <c r="A30">
        <v>29</v>
      </c>
      <c r="B30" t="s">
        <v>157</v>
      </c>
      <c r="C30" t="s">
        <v>85</v>
      </c>
      <c r="D30">
        <v>63</v>
      </c>
      <c r="E30" t="s">
        <v>122</v>
      </c>
      <c r="F30" t="s">
        <v>128</v>
      </c>
      <c r="G30" s="1">
        <v>46090</v>
      </c>
      <c r="H30">
        <v>9</v>
      </c>
    </row>
    <row r="31" spans="1:8" x14ac:dyDescent="0.3">
      <c r="A31">
        <v>30</v>
      </c>
      <c r="B31" t="s">
        <v>158</v>
      </c>
      <c r="C31" t="s">
        <v>88</v>
      </c>
      <c r="D31">
        <v>27</v>
      </c>
      <c r="E31" t="s">
        <v>119</v>
      </c>
      <c r="F31" t="s">
        <v>126</v>
      </c>
      <c r="G31" s="1">
        <v>46092</v>
      </c>
      <c r="H31">
        <v>10</v>
      </c>
    </row>
    <row r="32" spans="1:8" x14ac:dyDescent="0.3">
      <c r="A32">
        <v>31</v>
      </c>
      <c r="B32" t="s">
        <v>159</v>
      </c>
      <c r="C32" t="s">
        <v>85</v>
      </c>
      <c r="D32">
        <v>38</v>
      </c>
      <c r="E32" t="s">
        <v>119</v>
      </c>
      <c r="F32" t="s">
        <v>120</v>
      </c>
      <c r="G32" s="1">
        <v>46094</v>
      </c>
      <c r="H32">
        <v>1</v>
      </c>
    </row>
    <row r="33" spans="1:8" x14ac:dyDescent="0.3">
      <c r="A33">
        <v>32</v>
      </c>
      <c r="B33" t="s">
        <v>160</v>
      </c>
      <c r="C33" t="s">
        <v>88</v>
      </c>
      <c r="D33">
        <v>45</v>
      </c>
      <c r="E33" t="s">
        <v>122</v>
      </c>
      <c r="F33" t="s">
        <v>123</v>
      </c>
      <c r="G33" s="1">
        <v>46096</v>
      </c>
      <c r="H33">
        <v>2</v>
      </c>
    </row>
    <row r="34" spans="1:8" x14ac:dyDescent="0.3">
      <c r="A34">
        <v>33</v>
      </c>
      <c r="B34" t="s">
        <v>161</v>
      </c>
      <c r="C34" t="s">
        <v>85</v>
      </c>
      <c r="D34">
        <v>51</v>
      </c>
      <c r="E34" t="s">
        <v>125</v>
      </c>
      <c r="F34" t="s">
        <v>126</v>
      </c>
      <c r="G34" s="1">
        <v>46098</v>
      </c>
      <c r="H34">
        <v>3</v>
      </c>
    </row>
    <row r="35" spans="1:8" x14ac:dyDescent="0.3">
      <c r="A35">
        <v>34</v>
      </c>
      <c r="B35" t="s">
        <v>162</v>
      </c>
      <c r="C35" t="s">
        <v>88</v>
      </c>
      <c r="D35">
        <v>32</v>
      </c>
      <c r="E35" t="s">
        <v>119</v>
      </c>
      <c r="F35" t="s">
        <v>142</v>
      </c>
      <c r="G35" s="1">
        <v>46100</v>
      </c>
      <c r="H35">
        <v>4</v>
      </c>
    </row>
    <row r="36" spans="1:8" x14ac:dyDescent="0.3">
      <c r="A36">
        <v>35</v>
      </c>
      <c r="B36" t="s">
        <v>163</v>
      </c>
      <c r="C36" t="s">
        <v>85</v>
      </c>
      <c r="D36">
        <v>60</v>
      </c>
      <c r="E36" t="s">
        <v>122</v>
      </c>
      <c r="F36" t="s">
        <v>123</v>
      </c>
      <c r="G36" s="1">
        <v>46102</v>
      </c>
      <c r="H36">
        <v>5</v>
      </c>
    </row>
    <row r="37" spans="1:8" x14ac:dyDescent="0.3">
      <c r="A37">
        <v>36</v>
      </c>
      <c r="B37" t="s">
        <v>164</v>
      </c>
      <c r="C37" t="s">
        <v>88</v>
      </c>
      <c r="D37">
        <v>28</v>
      </c>
      <c r="E37" t="s">
        <v>131</v>
      </c>
      <c r="F37" t="s">
        <v>126</v>
      </c>
      <c r="G37" s="1">
        <v>46104</v>
      </c>
      <c r="H37">
        <v>6</v>
      </c>
    </row>
    <row r="38" spans="1:8" x14ac:dyDescent="0.3">
      <c r="A38">
        <v>37</v>
      </c>
      <c r="B38" t="s">
        <v>165</v>
      </c>
      <c r="C38" t="s">
        <v>85</v>
      </c>
      <c r="D38">
        <v>43</v>
      </c>
      <c r="E38" t="s">
        <v>119</v>
      </c>
      <c r="F38" t="s">
        <v>120</v>
      </c>
      <c r="G38" s="1">
        <v>46106</v>
      </c>
      <c r="H38">
        <v>7</v>
      </c>
    </row>
    <row r="39" spans="1:8" x14ac:dyDescent="0.3">
      <c r="A39">
        <v>38</v>
      </c>
      <c r="B39" t="s">
        <v>166</v>
      </c>
      <c r="C39" t="s">
        <v>88</v>
      </c>
      <c r="D39">
        <v>39</v>
      </c>
      <c r="E39" t="s">
        <v>125</v>
      </c>
      <c r="F39" t="s">
        <v>123</v>
      </c>
      <c r="G39" s="1">
        <v>46108</v>
      </c>
      <c r="H39">
        <v>8</v>
      </c>
    </row>
    <row r="40" spans="1:8" x14ac:dyDescent="0.3">
      <c r="A40">
        <v>39</v>
      </c>
      <c r="B40" t="s">
        <v>167</v>
      </c>
      <c r="C40" t="s">
        <v>85</v>
      </c>
      <c r="D40">
        <v>56</v>
      </c>
      <c r="E40" t="s">
        <v>122</v>
      </c>
      <c r="F40" t="s">
        <v>126</v>
      </c>
      <c r="G40" s="1">
        <v>46110</v>
      </c>
      <c r="H40">
        <v>9</v>
      </c>
    </row>
    <row r="41" spans="1:8" x14ac:dyDescent="0.3">
      <c r="A41">
        <v>40</v>
      </c>
      <c r="B41" t="s">
        <v>168</v>
      </c>
      <c r="C41" t="s">
        <v>88</v>
      </c>
      <c r="D41">
        <v>34</v>
      </c>
      <c r="E41" t="s">
        <v>119</v>
      </c>
      <c r="F41" t="s">
        <v>128</v>
      </c>
      <c r="G41" s="1">
        <v>46112</v>
      </c>
      <c r="H41">
        <v>10</v>
      </c>
    </row>
    <row r="42" spans="1:8" x14ac:dyDescent="0.3">
      <c r="A42">
        <v>41</v>
      </c>
      <c r="B42" t="s">
        <v>169</v>
      </c>
      <c r="C42" t="s">
        <v>85</v>
      </c>
      <c r="D42">
        <v>49</v>
      </c>
      <c r="E42" t="s">
        <v>119</v>
      </c>
      <c r="F42" t="s">
        <v>120</v>
      </c>
      <c r="G42" s="1">
        <v>46114</v>
      </c>
      <c r="H42">
        <v>1</v>
      </c>
    </row>
    <row r="43" spans="1:8" x14ac:dyDescent="0.3">
      <c r="A43">
        <v>42</v>
      </c>
      <c r="B43" t="s">
        <v>170</v>
      </c>
      <c r="C43" t="s">
        <v>88</v>
      </c>
      <c r="D43">
        <v>23</v>
      </c>
      <c r="E43" t="s">
        <v>122</v>
      </c>
      <c r="F43" t="s">
        <v>123</v>
      </c>
      <c r="G43" s="1">
        <v>46116</v>
      </c>
      <c r="H43">
        <v>2</v>
      </c>
    </row>
    <row r="44" spans="1:8" x14ac:dyDescent="0.3">
      <c r="A44">
        <v>43</v>
      </c>
      <c r="B44" t="s">
        <v>171</v>
      </c>
      <c r="C44" t="s">
        <v>85</v>
      </c>
      <c r="D44">
        <v>36</v>
      </c>
      <c r="E44" t="s">
        <v>125</v>
      </c>
      <c r="F44" t="s">
        <v>126</v>
      </c>
      <c r="G44" s="1">
        <v>46118</v>
      </c>
      <c r="H44">
        <v>3</v>
      </c>
    </row>
    <row r="45" spans="1:8" x14ac:dyDescent="0.3">
      <c r="A45">
        <v>44</v>
      </c>
      <c r="B45" t="s">
        <v>172</v>
      </c>
      <c r="C45" t="s">
        <v>88</v>
      </c>
      <c r="D45">
        <v>41</v>
      </c>
      <c r="E45" t="s">
        <v>119</v>
      </c>
      <c r="F45" t="s">
        <v>120</v>
      </c>
      <c r="G45" s="1">
        <v>46120</v>
      </c>
      <c r="H45">
        <v>4</v>
      </c>
    </row>
    <row r="46" spans="1:8" x14ac:dyDescent="0.3">
      <c r="A46">
        <v>45</v>
      </c>
      <c r="B46" t="s">
        <v>173</v>
      </c>
      <c r="C46" t="s">
        <v>85</v>
      </c>
      <c r="D46">
        <v>65</v>
      </c>
      <c r="E46" t="s">
        <v>122</v>
      </c>
      <c r="F46" t="s">
        <v>136</v>
      </c>
      <c r="G46" s="1">
        <v>46122</v>
      </c>
      <c r="H46">
        <v>5</v>
      </c>
    </row>
    <row r="47" spans="1:8" x14ac:dyDescent="0.3">
      <c r="A47">
        <v>46</v>
      </c>
      <c r="B47" t="s">
        <v>174</v>
      </c>
      <c r="C47" t="s">
        <v>88</v>
      </c>
      <c r="D47">
        <v>30</v>
      </c>
      <c r="E47" t="s">
        <v>131</v>
      </c>
      <c r="F47" t="s">
        <v>126</v>
      </c>
      <c r="G47" s="1">
        <v>46124</v>
      </c>
      <c r="H47">
        <v>6</v>
      </c>
    </row>
    <row r="48" spans="1:8" x14ac:dyDescent="0.3">
      <c r="A48">
        <v>47</v>
      </c>
      <c r="B48" t="s">
        <v>175</v>
      </c>
      <c r="C48" t="s">
        <v>85</v>
      </c>
      <c r="D48">
        <v>46</v>
      </c>
      <c r="E48" t="s">
        <v>119</v>
      </c>
      <c r="F48" t="s">
        <v>120</v>
      </c>
      <c r="G48" s="1">
        <v>46126</v>
      </c>
      <c r="H48">
        <v>7</v>
      </c>
    </row>
    <row r="49" spans="1:8" x14ac:dyDescent="0.3">
      <c r="A49">
        <v>48</v>
      </c>
      <c r="B49" t="s">
        <v>176</v>
      </c>
      <c r="C49" t="s">
        <v>88</v>
      </c>
      <c r="D49">
        <v>37</v>
      </c>
      <c r="E49" t="s">
        <v>125</v>
      </c>
      <c r="F49" t="s">
        <v>123</v>
      </c>
      <c r="G49" s="1">
        <v>46128</v>
      </c>
      <c r="H49">
        <v>8</v>
      </c>
    </row>
    <row r="50" spans="1:8" x14ac:dyDescent="0.3">
      <c r="A50">
        <v>49</v>
      </c>
      <c r="B50" t="s">
        <v>177</v>
      </c>
      <c r="C50" t="s">
        <v>85</v>
      </c>
      <c r="D50">
        <v>53</v>
      </c>
      <c r="E50" t="s">
        <v>122</v>
      </c>
      <c r="F50" t="s">
        <v>128</v>
      </c>
      <c r="G50" s="1">
        <v>46130</v>
      </c>
      <c r="H50">
        <v>9</v>
      </c>
    </row>
    <row r="51" spans="1:8" x14ac:dyDescent="0.3">
      <c r="A51">
        <v>50</v>
      </c>
      <c r="B51" t="s">
        <v>178</v>
      </c>
      <c r="C51" t="s">
        <v>88</v>
      </c>
      <c r="D51">
        <v>29</v>
      </c>
      <c r="E51" t="s">
        <v>119</v>
      </c>
      <c r="F51" t="s">
        <v>126</v>
      </c>
      <c r="G51" s="1">
        <v>46132</v>
      </c>
      <c r="H51">
        <v>10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CEBC9-50BE-4FD9-8E78-5B4F815D6419}">
  <dimension ref="A1:G11"/>
  <sheetViews>
    <sheetView workbookViewId="0"/>
  </sheetViews>
  <sheetFormatPr defaultRowHeight="14.4" x14ac:dyDescent="0.3"/>
  <cols>
    <col min="1" max="1" width="13.33203125" bestFit="1" customWidth="1"/>
    <col min="2" max="2" width="8.21875" bestFit="1" customWidth="1"/>
    <col min="3" max="3" width="11.77734375" bestFit="1" customWidth="1"/>
    <col min="4" max="4" width="15.6640625" bestFit="1" customWidth="1"/>
    <col min="5" max="6" width="18.5546875" bestFit="1" customWidth="1"/>
    <col min="7" max="7" width="16.88671875" bestFit="1" customWidth="1"/>
  </cols>
  <sheetData>
    <row r="1" spans="1:7" x14ac:dyDescent="0.3">
      <c r="A1" t="s">
        <v>179</v>
      </c>
      <c r="B1" t="s">
        <v>34</v>
      </c>
      <c r="C1" t="s">
        <v>1</v>
      </c>
      <c r="D1" t="s">
        <v>180</v>
      </c>
      <c r="E1" t="s">
        <v>181</v>
      </c>
      <c r="F1" t="s">
        <v>182</v>
      </c>
      <c r="G1" t="s">
        <v>183</v>
      </c>
    </row>
    <row r="2" spans="1:7" x14ac:dyDescent="0.3">
      <c r="A2">
        <v>1</v>
      </c>
      <c r="B2">
        <v>1</v>
      </c>
      <c r="C2">
        <v>1</v>
      </c>
      <c r="D2" s="1">
        <v>46036</v>
      </c>
      <c r="E2">
        <v>12400</v>
      </c>
      <c r="F2" t="s">
        <v>184</v>
      </c>
      <c r="G2" t="s">
        <v>31</v>
      </c>
    </row>
    <row r="3" spans="1:7" x14ac:dyDescent="0.3">
      <c r="A3">
        <v>2</v>
      </c>
      <c r="B3">
        <v>2</v>
      </c>
      <c r="C3">
        <v>3</v>
      </c>
      <c r="D3" s="1">
        <v>46039</v>
      </c>
      <c r="E3">
        <v>14400</v>
      </c>
      <c r="F3" t="s">
        <v>185</v>
      </c>
      <c r="G3" t="s">
        <v>31</v>
      </c>
    </row>
    <row r="4" spans="1:7" x14ac:dyDescent="0.3">
      <c r="A4">
        <v>3</v>
      </c>
      <c r="B4">
        <v>3</v>
      </c>
      <c r="C4">
        <v>5</v>
      </c>
      <c r="D4" s="1">
        <v>46042</v>
      </c>
      <c r="E4">
        <v>16500</v>
      </c>
      <c r="F4" t="s">
        <v>186</v>
      </c>
      <c r="G4" t="s">
        <v>31</v>
      </c>
    </row>
    <row r="5" spans="1:7" x14ac:dyDescent="0.3">
      <c r="A5">
        <v>4</v>
      </c>
      <c r="B5">
        <v>4</v>
      </c>
      <c r="C5">
        <v>7</v>
      </c>
      <c r="D5" s="1">
        <v>46042</v>
      </c>
      <c r="E5">
        <v>5000</v>
      </c>
      <c r="F5" t="s">
        <v>184</v>
      </c>
      <c r="G5" t="s">
        <v>187</v>
      </c>
    </row>
    <row r="6" spans="1:7" x14ac:dyDescent="0.3">
      <c r="A6">
        <v>5</v>
      </c>
      <c r="B6">
        <v>5</v>
      </c>
      <c r="C6">
        <v>9</v>
      </c>
      <c r="D6" s="1">
        <v>46049</v>
      </c>
      <c r="E6">
        <v>12800</v>
      </c>
      <c r="F6" t="s">
        <v>188</v>
      </c>
      <c r="G6" t="s">
        <v>31</v>
      </c>
    </row>
    <row r="7" spans="1:7" x14ac:dyDescent="0.3">
      <c r="A7">
        <v>6</v>
      </c>
      <c r="B7">
        <v>6</v>
      </c>
      <c r="C7">
        <v>12</v>
      </c>
      <c r="D7" s="1">
        <v>46057</v>
      </c>
      <c r="E7">
        <v>13000</v>
      </c>
      <c r="F7" t="s">
        <v>184</v>
      </c>
      <c r="G7" t="s">
        <v>31</v>
      </c>
    </row>
    <row r="8" spans="1:7" x14ac:dyDescent="0.3">
      <c r="A8">
        <v>7</v>
      </c>
      <c r="B8">
        <v>7</v>
      </c>
      <c r="C8">
        <v>15</v>
      </c>
      <c r="D8" s="1">
        <v>46065</v>
      </c>
      <c r="E8">
        <v>8000</v>
      </c>
      <c r="F8" t="s">
        <v>186</v>
      </c>
      <c r="G8" t="s">
        <v>187</v>
      </c>
    </row>
    <row r="9" spans="1:7" x14ac:dyDescent="0.3">
      <c r="A9">
        <v>8</v>
      </c>
      <c r="B9">
        <v>8</v>
      </c>
      <c r="C9">
        <v>17</v>
      </c>
      <c r="D9" s="1">
        <v>46067</v>
      </c>
      <c r="E9">
        <v>10200</v>
      </c>
      <c r="F9" t="s">
        <v>184</v>
      </c>
      <c r="G9" t="s">
        <v>31</v>
      </c>
    </row>
    <row r="10" spans="1:7" x14ac:dyDescent="0.3">
      <c r="A10">
        <v>9</v>
      </c>
      <c r="B10">
        <v>9</v>
      </c>
      <c r="C10">
        <v>19</v>
      </c>
      <c r="D10" s="1">
        <v>46072</v>
      </c>
      <c r="E10">
        <v>12100</v>
      </c>
      <c r="F10" t="s">
        <v>185</v>
      </c>
      <c r="G10" t="s">
        <v>31</v>
      </c>
    </row>
    <row r="11" spans="1:7" x14ac:dyDescent="0.3">
      <c r="A11">
        <v>10</v>
      </c>
      <c r="B11">
        <v>10</v>
      </c>
      <c r="C11">
        <v>21</v>
      </c>
      <c r="D11" s="1">
        <v>46078</v>
      </c>
      <c r="E11">
        <v>7000</v>
      </c>
      <c r="F11" t="s">
        <v>184</v>
      </c>
      <c r="G11" t="s">
        <v>187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14AF9-E775-4236-8DB2-D5B3215752BA}">
  <dimension ref="A1:G16"/>
  <sheetViews>
    <sheetView workbookViewId="0"/>
  </sheetViews>
  <sheetFormatPr defaultRowHeight="14.4" x14ac:dyDescent="0.3"/>
  <cols>
    <col min="1" max="1" width="9.5546875" bestFit="1" customWidth="1"/>
    <col min="2" max="2" width="13.77734375" bestFit="1" customWidth="1"/>
    <col min="3" max="3" width="9.109375" bestFit="1" customWidth="1"/>
    <col min="4" max="4" width="13.109375" bestFit="1" customWidth="1"/>
    <col min="5" max="5" width="15.88671875" bestFit="1" customWidth="1"/>
    <col min="6" max="6" width="7.77734375" bestFit="1" customWidth="1"/>
    <col min="7" max="7" width="8.109375" bestFit="1" customWidth="1"/>
  </cols>
  <sheetData>
    <row r="1" spans="1:7" x14ac:dyDescent="0.3">
      <c r="A1" t="s">
        <v>189</v>
      </c>
      <c r="B1" t="s">
        <v>190</v>
      </c>
      <c r="C1" t="s">
        <v>80</v>
      </c>
      <c r="D1" t="s">
        <v>191</v>
      </c>
      <c r="E1" t="s">
        <v>3</v>
      </c>
      <c r="F1" t="s">
        <v>192</v>
      </c>
      <c r="G1" t="s">
        <v>193</v>
      </c>
    </row>
    <row r="2" spans="1:7" x14ac:dyDescent="0.3">
      <c r="A2">
        <v>1</v>
      </c>
      <c r="B2" t="s">
        <v>194</v>
      </c>
      <c r="C2" t="s">
        <v>85</v>
      </c>
      <c r="D2" t="s">
        <v>195</v>
      </c>
      <c r="E2">
        <v>1</v>
      </c>
      <c r="F2" t="s">
        <v>196</v>
      </c>
      <c r="G2">
        <v>35000</v>
      </c>
    </row>
    <row r="3" spans="1:7" x14ac:dyDescent="0.3">
      <c r="A3">
        <v>2</v>
      </c>
      <c r="B3" t="s">
        <v>197</v>
      </c>
      <c r="C3" t="s">
        <v>88</v>
      </c>
      <c r="D3" t="s">
        <v>195</v>
      </c>
      <c r="E3">
        <v>2</v>
      </c>
      <c r="F3" t="s">
        <v>198</v>
      </c>
      <c r="G3">
        <v>36000</v>
      </c>
    </row>
    <row r="4" spans="1:7" x14ac:dyDescent="0.3">
      <c r="A4">
        <v>3</v>
      </c>
      <c r="B4" t="s">
        <v>199</v>
      </c>
      <c r="C4" t="s">
        <v>85</v>
      </c>
      <c r="D4" t="s">
        <v>195</v>
      </c>
      <c r="E4">
        <v>3</v>
      </c>
      <c r="F4" t="s">
        <v>200</v>
      </c>
      <c r="G4">
        <v>34000</v>
      </c>
    </row>
    <row r="5" spans="1:7" x14ac:dyDescent="0.3">
      <c r="A5">
        <v>4</v>
      </c>
      <c r="B5" t="s">
        <v>201</v>
      </c>
      <c r="C5" t="s">
        <v>88</v>
      </c>
      <c r="D5" t="s">
        <v>202</v>
      </c>
      <c r="E5">
        <v>7</v>
      </c>
      <c r="F5" t="s">
        <v>196</v>
      </c>
      <c r="G5">
        <v>28000</v>
      </c>
    </row>
    <row r="6" spans="1:7" x14ac:dyDescent="0.3">
      <c r="A6">
        <v>5</v>
      </c>
      <c r="B6" t="s">
        <v>203</v>
      </c>
      <c r="C6" t="s">
        <v>85</v>
      </c>
      <c r="D6" t="s">
        <v>204</v>
      </c>
      <c r="E6">
        <v>7</v>
      </c>
      <c r="F6" t="s">
        <v>196</v>
      </c>
      <c r="G6">
        <v>32000</v>
      </c>
    </row>
    <row r="7" spans="1:7" x14ac:dyDescent="0.3">
      <c r="A7">
        <v>6</v>
      </c>
      <c r="B7" t="s">
        <v>205</v>
      </c>
      <c r="C7" t="s">
        <v>88</v>
      </c>
      <c r="D7" t="s">
        <v>195</v>
      </c>
      <c r="E7">
        <v>5</v>
      </c>
      <c r="F7" t="s">
        <v>198</v>
      </c>
      <c r="G7">
        <v>37000</v>
      </c>
    </row>
    <row r="8" spans="1:7" x14ac:dyDescent="0.3">
      <c r="A8">
        <v>7</v>
      </c>
      <c r="B8" t="s">
        <v>206</v>
      </c>
      <c r="C8" t="s">
        <v>85</v>
      </c>
      <c r="D8" t="s">
        <v>207</v>
      </c>
      <c r="E8">
        <v>7</v>
      </c>
      <c r="F8" t="s">
        <v>200</v>
      </c>
      <c r="G8">
        <v>30000</v>
      </c>
    </row>
    <row r="9" spans="1:7" x14ac:dyDescent="0.3">
      <c r="A9">
        <v>8</v>
      </c>
      <c r="B9" t="s">
        <v>208</v>
      </c>
      <c r="C9" t="s">
        <v>88</v>
      </c>
      <c r="D9" t="s">
        <v>202</v>
      </c>
      <c r="E9">
        <v>8</v>
      </c>
      <c r="F9" t="s">
        <v>196</v>
      </c>
      <c r="G9">
        <v>27500</v>
      </c>
    </row>
    <row r="10" spans="1:7" x14ac:dyDescent="0.3">
      <c r="A10">
        <v>9</v>
      </c>
      <c r="B10" t="s">
        <v>209</v>
      </c>
      <c r="C10" t="s">
        <v>85</v>
      </c>
      <c r="D10" t="s">
        <v>204</v>
      </c>
      <c r="E10">
        <v>9</v>
      </c>
      <c r="F10" t="s">
        <v>200</v>
      </c>
      <c r="G10">
        <v>33000</v>
      </c>
    </row>
    <row r="11" spans="1:7" x14ac:dyDescent="0.3">
      <c r="A11">
        <v>10</v>
      </c>
      <c r="B11" t="s">
        <v>210</v>
      </c>
      <c r="C11" t="s">
        <v>88</v>
      </c>
      <c r="D11" t="s">
        <v>195</v>
      </c>
      <c r="E11">
        <v>10</v>
      </c>
      <c r="F11" t="s">
        <v>196</v>
      </c>
      <c r="G11">
        <v>35000</v>
      </c>
    </row>
    <row r="12" spans="1:7" x14ac:dyDescent="0.3">
      <c r="A12">
        <v>11</v>
      </c>
      <c r="B12" t="s">
        <v>211</v>
      </c>
      <c r="C12" t="s">
        <v>88</v>
      </c>
      <c r="D12" t="s">
        <v>195</v>
      </c>
      <c r="E12">
        <v>6</v>
      </c>
      <c r="F12" t="s">
        <v>196</v>
      </c>
      <c r="G12">
        <v>34000</v>
      </c>
    </row>
    <row r="13" spans="1:7" x14ac:dyDescent="0.3">
      <c r="A13">
        <v>12</v>
      </c>
      <c r="B13" t="s">
        <v>212</v>
      </c>
      <c r="C13" t="s">
        <v>85</v>
      </c>
      <c r="D13" t="s">
        <v>213</v>
      </c>
      <c r="E13">
        <v>7</v>
      </c>
      <c r="F13" t="s">
        <v>196</v>
      </c>
      <c r="G13">
        <v>40000</v>
      </c>
    </row>
    <row r="14" spans="1:7" x14ac:dyDescent="0.3">
      <c r="A14">
        <v>13</v>
      </c>
      <c r="B14" t="s">
        <v>214</v>
      </c>
      <c r="C14" t="s">
        <v>88</v>
      </c>
      <c r="D14" t="s">
        <v>195</v>
      </c>
      <c r="E14">
        <v>4</v>
      </c>
      <c r="F14" t="s">
        <v>198</v>
      </c>
      <c r="G14">
        <v>36000</v>
      </c>
    </row>
    <row r="15" spans="1:7" x14ac:dyDescent="0.3">
      <c r="A15">
        <v>14</v>
      </c>
      <c r="B15" t="s">
        <v>215</v>
      </c>
      <c r="C15" t="s">
        <v>85</v>
      </c>
      <c r="D15" t="s">
        <v>204</v>
      </c>
      <c r="E15">
        <v>5</v>
      </c>
      <c r="F15" t="s">
        <v>200</v>
      </c>
      <c r="G15">
        <v>33500</v>
      </c>
    </row>
    <row r="16" spans="1:7" x14ac:dyDescent="0.3">
      <c r="A16">
        <v>15</v>
      </c>
      <c r="B16" t="s">
        <v>216</v>
      </c>
      <c r="C16" t="s">
        <v>88</v>
      </c>
      <c r="D16" t="s">
        <v>202</v>
      </c>
      <c r="E16">
        <v>7</v>
      </c>
      <c r="F16" t="s">
        <v>200</v>
      </c>
      <c r="G16">
        <v>29000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42200-E297-4B7E-910B-26D3D578B836}">
  <dimension ref="A1:H11"/>
  <sheetViews>
    <sheetView workbookViewId="0"/>
  </sheetViews>
  <sheetFormatPr defaultRowHeight="14.4" x14ac:dyDescent="0.3"/>
  <cols>
    <col min="1" max="1" width="14.21875" bestFit="1" customWidth="1"/>
    <col min="2" max="2" width="11.77734375" bestFit="1" customWidth="1"/>
    <col min="3" max="3" width="11.33203125" bestFit="1" customWidth="1"/>
    <col min="4" max="4" width="13.5546875" bestFit="1" customWidth="1"/>
    <col min="5" max="5" width="24.6640625" bestFit="1" customWidth="1"/>
    <col min="6" max="6" width="16.5546875" bestFit="1" customWidth="1"/>
    <col min="7" max="7" width="16.21875" bestFit="1" customWidth="1"/>
    <col min="8" max="8" width="17.77734375" bestFit="1" customWidth="1"/>
  </cols>
  <sheetData>
    <row r="1" spans="1:8" x14ac:dyDescent="0.3">
      <c r="A1" t="s">
        <v>217</v>
      </c>
      <c r="B1" t="s">
        <v>1</v>
      </c>
      <c r="C1" t="s">
        <v>2</v>
      </c>
      <c r="D1" t="s">
        <v>59</v>
      </c>
      <c r="E1" t="s">
        <v>218</v>
      </c>
      <c r="F1" t="s">
        <v>219</v>
      </c>
      <c r="G1" t="s">
        <v>220</v>
      </c>
      <c r="H1" t="s">
        <v>221</v>
      </c>
    </row>
    <row r="2" spans="1:8" x14ac:dyDescent="0.3">
      <c r="A2">
        <v>1</v>
      </c>
      <c r="B2">
        <v>1</v>
      </c>
      <c r="C2">
        <v>1</v>
      </c>
      <c r="D2">
        <v>1</v>
      </c>
      <c r="E2" t="s">
        <v>222</v>
      </c>
      <c r="F2" s="1">
        <v>46032</v>
      </c>
      <c r="G2">
        <v>2500</v>
      </c>
      <c r="H2" t="s">
        <v>31</v>
      </c>
    </row>
    <row r="3" spans="1:8" x14ac:dyDescent="0.3">
      <c r="A3">
        <v>2</v>
      </c>
      <c r="B3">
        <v>2</v>
      </c>
      <c r="C3">
        <v>2</v>
      </c>
      <c r="D3">
        <v>2</v>
      </c>
      <c r="E3" t="s">
        <v>223</v>
      </c>
      <c r="F3" s="1">
        <v>46033</v>
      </c>
      <c r="G3">
        <v>3000</v>
      </c>
      <c r="H3" t="s">
        <v>31</v>
      </c>
    </row>
    <row r="4" spans="1:8" x14ac:dyDescent="0.3">
      <c r="A4">
        <v>3</v>
      </c>
      <c r="B4">
        <v>3</v>
      </c>
      <c r="C4">
        <v>3</v>
      </c>
      <c r="D4">
        <v>3</v>
      </c>
      <c r="E4" t="s">
        <v>224</v>
      </c>
      <c r="F4" s="1">
        <v>46034</v>
      </c>
      <c r="G4">
        <v>4500</v>
      </c>
      <c r="H4" t="s">
        <v>31</v>
      </c>
    </row>
    <row r="5" spans="1:8" x14ac:dyDescent="0.3">
      <c r="A5">
        <v>4</v>
      </c>
      <c r="B5">
        <v>4</v>
      </c>
      <c r="C5">
        <v>4</v>
      </c>
      <c r="D5">
        <v>4</v>
      </c>
      <c r="E5" t="s">
        <v>225</v>
      </c>
      <c r="F5" s="1">
        <v>46035</v>
      </c>
      <c r="G5">
        <v>1800</v>
      </c>
      <c r="H5" t="s">
        <v>31</v>
      </c>
    </row>
    <row r="6" spans="1:8" x14ac:dyDescent="0.3">
      <c r="A6">
        <v>5</v>
      </c>
      <c r="B6">
        <v>5</v>
      </c>
      <c r="C6">
        <v>5</v>
      </c>
      <c r="D6">
        <v>5</v>
      </c>
      <c r="E6" t="s">
        <v>226</v>
      </c>
      <c r="F6" s="1">
        <v>46037</v>
      </c>
      <c r="G6">
        <v>3500</v>
      </c>
      <c r="H6" t="s">
        <v>31</v>
      </c>
    </row>
    <row r="7" spans="1:8" x14ac:dyDescent="0.3">
      <c r="A7">
        <v>6</v>
      </c>
      <c r="B7">
        <v>6</v>
      </c>
      <c r="C7">
        <v>6</v>
      </c>
      <c r="D7">
        <v>6</v>
      </c>
      <c r="E7" t="s">
        <v>227</v>
      </c>
      <c r="F7" s="1">
        <v>46038</v>
      </c>
      <c r="G7">
        <v>1200</v>
      </c>
      <c r="H7" t="s">
        <v>31</v>
      </c>
    </row>
    <row r="8" spans="1:8" x14ac:dyDescent="0.3">
      <c r="A8">
        <v>7</v>
      </c>
      <c r="B8">
        <v>7</v>
      </c>
      <c r="C8">
        <v>7</v>
      </c>
      <c r="D8">
        <v>7</v>
      </c>
      <c r="E8" t="s">
        <v>228</v>
      </c>
      <c r="F8" s="1">
        <v>46040</v>
      </c>
      <c r="G8">
        <v>2800</v>
      </c>
      <c r="H8" t="s">
        <v>229</v>
      </c>
    </row>
    <row r="9" spans="1:8" x14ac:dyDescent="0.3">
      <c r="A9">
        <v>8</v>
      </c>
      <c r="B9">
        <v>8</v>
      </c>
      <c r="C9">
        <v>8</v>
      </c>
      <c r="D9">
        <v>8</v>
      </c>
      <c r="E9" t="s">
        <v>230</v>
      </c>
      <c r="F9" s="1">
        <v>46042</v>
      </c>
      <c r="G9">
        <v>1600</v>
      </c>
      <c r="H9" t="s">
        <v>31</v>
      </c>
    </row>
    <row r="10" spans="1:8" x14ac:dyDescent="0.3">
      <c r="A10">
        <v>9</v>
      </c>
      <c r="B10">
        <v>9</v>
      </c>
      <c r="C10">
        <v>9</v>
      </c>
      <c r="D10">
        <v>9</v>
      </c>
      <c r="E10" t="s">
        <v>231</v>
      </c>
      <c r="F10" s="1">
        <v>46043</v>
      </c>
      <c r="G10">
        <v>2200</v>
      </c>
      <c r="H10" t="s">
        <v>31</v>
      </c>
    </row>
    <row r="11" spans="1:8" x14ac:dyDescent="0.3">
      <c r="A11">
        <v>10</v>
      </c>
      <c r="B11">
        <v>10</v>
      </c>
      <c r="C11">
        <v>10</v>
      </c>
      <c r="D11">
        <v>10</v>
      </c>
      <c r="E11" t="s">
        <v>232</v>
      </c>
      <c r="F11" s="1">
        <v>46044</v>
      </c>
      <c r="G11">
        <v>3200</v>
      </c>
      <c r="H11" t="s">
        <v>229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E1E80-9D92-4799-B8C4-59EE67C5AB4A}">
  <dimension ref="A1:D11"/>
  <sheetViews>
    <sheetView workbookViewId="0"/>
  </sheetViews>
  <sheetFormatPr defaultRowHeight="14.4" x14ac:dyDescent="0.3"/>
  <cols>
    <col min="1" max="1" width="13.88671875" bestFit="1" customWidth="1"/>
    <col min="2" max="2" width="19.109375" bestFit="1" customWidth="1"/>
    <col min="3" max="3" width="23.33203125" bestFit="1" customWidth="1"/>
    <col min="4" max="4" width="16.109375" bestFit="1" customWidth="1"/>
  </cols>
  <sheetData>
    <row r="1" spans="1:4" x14ac:dyDescent="0.3">
      <c r="A1" t="s">
        <v>238</v>
      </c>
      <c r="B1" t="s">
        <v>239</v>
      </c>
      <c r="C1" t="s">
        <v>240</v>
      </c>
      <c r="D1" t="s">
        <v>241</v>
      </c>
    </row>
    <row r="2" spans="1:4" x14ac:dyDescent="0.3">
      <c r="A2">
        <v>1</v>
      </c>
      <c r="B2" t="s">
        <v>242</v>
      </c>
      <c r="C2" t="s">
        <v>243</v>
      </c>
      <c r="D2">
        <v>500000</v>
      </c>
    </row>
    <row r="3" spans="1:4" x14ac:dyDescent="0.3">
      <c r="A3">
        <v>2</v>
      </c>
      <c r="B3" t="s">
        <v>244</v>
      </c>
      <c r="C3" t="s">
        <v>245</v>
      </c>
      <c r="D3">
        <v>700000</v>
      </c>
    </row>
    <row r="4" spans="1:4" x14ac:dyDescent="0.3">
      <c r="A4">
        <v>3</v>
      </c>
      <c r="B4" t="s">
        <v>246</v>
      </c>
      <c r="C4" t="s">
        <v>247</v>
      </c>
      <c r="D4">
        <v>1000000</v>
      </c>
    </row>
    <row r="5" spans="1:4" x14ac:dyDescent="0.3">
      <c r="A5">
        <v>4</v>
      </c>
      <c r="B5" t="s">
        <v>248</v>
      </c>
      <c r="C5" t="s">
        <v>249</v>
      </c>
      <c r="D5">
        <v>800000</v>
      </c>
    </row>
    <row r="6" spans="1:4" x14ac:dyDescent="0.3">
      <c r="A6">
        <v>5</v>
      </c>
      <c r="B6" t="s">
        <v>250</v>
      </c>
      <c r="C6" t="s">
        <v>251</v>
      </c>
      <c r="D6">
        <v>600000</v>
      </c>
    </row>
    <row r="7" spans="1:4" x14ac:dyDescent="0.3">
      <c r="A7">
        <v>6</v>
      </c>
      <c r="B7" t="s">
        <v>252</v>
      </c>
      <c r="C7" t="s">
        <v>253</v>
      </c>
      <c r="D7">
        <v>750000</v>
      </c>
    </row>
    <row r="8" spans="1:4" x14ac:dyDescent="0.3">
      <c r="A8">
        <v>7</v>
      </c>
      <c r="B8" t="s">
        <v>254</v>
      </c>
      <c r="C8" t="s">
        <v>255</v>
      </c>
      <c r="D8">
        <v>500000</v>
      </c>
    </row>
    <row r="9" spans="1:4" x14ac:dyDescent="0.3">
      <c r="A9">
        <v>8</v>
      </c>
      <c r="B9" t="s">
        <v>256</v>
      </c>
      <c r="C9" t="s">
        <v>257</v>
      </c>
      <c r="D9">
        <v>1000000</v>
      </c>
    </row>
    <row r="10" spans="1:4" x14ac:dyDescent="0.3">
      <c r="A10">
        <v>9</v>
      </c>
      <c r="B10" t="s">
        <v>258</v>
      </c>
      <c r="C10" t="s">
        <v>259</v>
      </c>
      <c r="D10">
        <v>700000</v>
      </c>
    </row>
    <row r="11" spans="1:4" x14ac:dyDescent="0.3">
      <c r="A11">
        <v>10</v>
      </c>
      <c r="B11" t="s">
        <v>260</v>
      </c>
      <c r="C11" t="s">
        <v>261</v>
      </c>
      <c r="D11">
        <v>500000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A102A-3BA8-4C2C-A98F-F88E3A45B238}">
  <dimension ref="A3:H25"/>
  <sheetViews>
    <sheetView workbookViewId="0">
      <selection activeCell="B20" sqref="B20"/>
    </sheetView>
  </sheetViews>
  <sheetFormatPr defaultRowHeight="14.4" x14ac:dyDescent="0.3"/>
  <cols>
    <col min="1" max="1" width="15.33203125" bestFit="1" customWidth="1"/>
    <col min="2" max="2" width="20" bestFit="1" customWidth="1"/>
    <col min="3" max="3" width="19.21875" bestFit="1" customWidth="1"/>
    <col min="5" max="5" width="12.5546875" bestFit="1" customWidth="1"/>
    <col min="6" max="6" width="23" bestFit="1" customWidth="1"/>
    <col min="7" max="7" width="13.33203125" bestFit="1" customWidth="1"/>
    <col min="8" max="8" width="13.109375" bestFit="1" customWidth="1"/>
  </cols>
  <sheetData>
    <row r="3" spans="1:8" x14ac:dyDescent="0.3">
      <c r="A3" s="12" t="s">
        <v>266</v>
      </c>
      <c r="B3" t="s">
        <v>270</v>
      </c>
    </row>
    <row r="4" spans="1:8" x14ac:dyDescent="0.3">
      <c r="A4" s="13" t="s">
        <v>48</v>
      </c>
      <c r="B4" s="2">
        <v>2</v>
      </c>
    </row>
    <row r="5" spans="1:8" x14ac:dyDescent="0.3">
      <c r="A5" s="13" t="s">
        <v>57</v>
      </c>
      <c r="B5" s="2">
        <v>2</v>
      </c>
      <c r="G5" t="s">
        <v>272</v>
      </c>
      <c r="H5" t="s">
        <v>263</v>
      </c>
    </row>
    <row r="6" spans="1:8" x14ac:dyDescent="0.3">
      <c r="A6" s="13" t="s">
        <v>55</v>
      </c>
      <c r="B6" s="2">
        <v>2</v>
      </c>
      <c r="G6" s="2">
        <v>111400</v>
      </c>
      <c r="H6" s="2">
        <v>132100</v>
      </c>
    </row>
    <row r="7" spans="1:8" x14ac:dyDescent="0.3">
      <c r="A7" s="13" t="s">
        <v>50</v>
      </c>
      <c r="B7" s="2">
        <v>1</v>
      </c>
    </row>
    <row r="8" spans="1:8" x14ac:dyDescent="0.3">
      <c r="A8" s="13" t="s">
        <v>53</v>
      </c>
      <c r="B8" s="2">
        <v>2</v>
      </c>
    </row>
    <row r="9" spans="1:8" x14ac:dyDescent="0.3">
      <c r="A9" s="13" t="s">
        <v>51</v>
      </c>
      <c r="B9" s="2">
        <v>1</v>
      </c>
    </row>
    <row r="10" spans="1:8" x14ac:dyDescent="0.3">
      <c r="A10" s="13" t="s">
        <v>267</v>
      </c>
      <c r="B10" s="2">
        <v>10</v>
      </c>
    </row>
    <row r="17" spans="2:6" x14ac:dyDescent="0.3">
      <c r="E17" s="12" t="s">
        <v>266</v>
      </c>
      <c r="F17" t="s">
        <v>264</v>
      </c>
    </row>
    <row r="18" spans="2:6" x14ac:dyDescent="0.3">
      <c r="B18" s="12" t="s">
        <v>266</v>
      </c>
      <c r="C18" t="s">
        <v>262</v>
      </c>
      <c r="E18" s="13" t="s">
        <v>186</v>
      </c>
      <c r="F18" s="2">
        <v>24500</v>
      </c>
    </row>
    <row r="19" spans="2:6" x14ac:dyDescent="0.3">
      <c r="B19" s="13" t="s">
        <v>48</v>
      </c>
      <c r="C19" s="2">
        <v>26900</v>
      </c>
      <c r="E19" s="13" t="s">
        <v>185</v>
      </c>
      <c r="F19" s="2">
        <v>26500</v>
      </c>
    </row>
    <row r="20" spans="2:6" x14ac:dyDescent="0.3">
      <c r="B20" s="13" t="s">
        <v>57</v>
      </c>
      <c r="C20" s="2">
        <v>24900</v>
      </c>
      <c r="E20" s="13" t="s">
        <v>188</v>
      </c>
      <c r="F20" s="2">
        <v>12800</v>
      </c>
    </row>
    <row r="21" spans="2:6" x14ac:dyDescent="0.3">
      <c r="B21" s="13" t="s">
        <v>55</v>
      </c>
      <c r="C21" s="2">
        <v>19900</v>
      </c>
      <c r="E21" s="13" t="s">
        <v>184</v>
      </c>
      <c r="F21" s="2">
        <v>47600</v>
      </c>
    </row>
    <row r="22" spans="2:6" x14ac:dyDescent="0.3">
      <c r="B22" s="13" t="s">
        <v>50</v>
      </c>
      <c r="C22" s="2">
        <v>13000</v>
      </c>
      <c r="E22" s="13" t="s">
        <v>267</v>
      </c>
      <c r="F22" s="2">
        <v>111400</v>
      </c>
    </row>
    <row r="23" spans="2:6" x14ac:dyDescent="0.3">
      <c r="B23" s="13" t="s">
        <v>53</v>
      </c>
      <c r="C23" s="2">
        <v>33000</v>
      </c>
    </row>
    <row r="24" spans="2:6" x14ac:dyDescent="0.3">
      <c r="B24" s="13" t="s">
        <v>51</v>
      </c>
      <c r="C24" s="2">
        <v>14400</v>
      </c>
    </row>
    <row r="25" spans="2:6" x14ac:dyDescent="0.3">
      <c r="B25" s="13" t="s">
        <v>267</v>
      </c>
      <c r="C25" s="2">
        <v>132100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02865-F392-4D69-8C44-0E86122D715A}">
  <dimension ref="A1:I36"/>
  <sheetViews>
    <sheetView workbookViewId="0">
      <selection activeCell="D20" sqref="D19:D20"/>
      <pivotSelection pane="bottomRight" showHeader="1" activeRow="19" activeCol="3" click="1" r:id="rId5">
        <pivotArea dataOnly="0" labelOnly="1" fieldPosition="0">
          <references count="1">
            <reference field="6" count="0"/>
          </references>
        </pivotArea>
      </pivotSelection>
    </sheetView>
  </sheetViews>
  <sheetFormatPr defaultRowHeight="14.4" x14ac:dyDescent="0.3"/>
  <cols>
    <col min="1" max="1" width="13.109375" bestFit="1" customWidth="1"/>
    <col min="3" max="3" width="13.109375" bestFit="1" customWidth="1"/>
    <col min="4" max="4" width="12.5546875" bestFit="1" customWidth="1"/>
    <col min="5" max="5" width="22.6640625" bestFit="1" customWidth="1"/>
    <col min="7" max="7" width="12.5546875" bestFit="1" customWidth="1"/>
    <col min="8" max="8" width="17.5546875" bestFit="1" customWidth="1"/>
  </cols>
  <sheetData>
    <row r="1" spans="1:9" x14ac:dyDescent="0.3">
      <c r="A1" t="s">
        <v>233</v>
      </c>
    </row>
    <row r="2" spans="1:9" x14ac:dyDescent="0.3">
      <c r="A2" s="2">
        <v>50</v>
      </c>
      <c r="C2" t="s">
        <v>263</v>
      </c>
      <c r="D2" t="s">
        <v>271</v>
      </c>
      <c r="G2" s="12" t="s">
        <v>266</v>
      </c>
      <c r="H2" t="s">
        <v>268</v>
      </c>
    </row>
    <row r="3" spans="1:9" x14ac:dyDescent="0.3">
      <c r="C3" s="2">
        <v>132100</v>
      </c>
      <c r="D3" s="2">
        <v>111400</v>
      </c>
      <c r="G3" s="13" t="s">
        <v>88</v>
      </c>
      <c r="H3" s="2">
        <v>25</v>
      </c>
    </row>
    <row r="4" spans="1:9" x14ac:dyDescent="0.3">
      <c r="A4" t="s">
        <v>234</v>
      </c>
      <c r="G4" s="13" t="s">
        <v>85</v>
      </c>
      <c r="H4" s="2">
        <v>25</v>
      </c>
    </row>
    <row r="5" spans="1:9" x14ac:dyDescent="0.3">
      <c r="A5" s="2">
        <v>10</v>
      </c>
      <c r="C5">
        <f>GETPIVOTDATA("[Measures].[Sum of total_amount]",$C$2)-GETPIVOTDATA("[Measures].[Sum of payment_amount]",$C$2)</f>
        <v>20700</v>
      </c>
      <c r="G5" s="13" t="s">
        <v>267</v>
      </c>
      <c r="H5" s="2">
        <v>50</v>
      </c>
    </row>
    <row r="6" spans="1:9" x14ac:dyDescent="0.3">
      <c r="C6" t="s">
        <v>265</v>
      </c>
    </row>
    <row r="7" spans="1:9" x14ac:dyDescent="0.3">
      <c r="A7" t="s">
        <v>235</v>
      </c>
    </row>
    <row r="8" spans="1:9" x14ac:dyDescent="0.3">
      <c r="A8" s="2">
        <v>10</v>
      </c>
      <c r="G8" s="3"/>
      <c r="H8" s="4"/>
      <c r="I8" s="5"/>
    </row>
    <row r="9" spans="1:9" x14ac:dyDescent="0.3">
      <c r="G9" s="6"/>
      <c r="H9" s="7"/>
      <c r="I9" s="8"/>
    </row>
    <row r="10" spans="1:9" x14ac:dyDescent="0.3">
      <c r="A10" t="s">
        <v>236</v>
      </c>
      <c r="G10" s="6"/>
      <c r="H10" s="7"/>
      <c r="I10" s="8"/>
    </row>
    <row r="11" spans="1:9" x14ac:dyDescent="0.3">
      <c r="A11" s="2">
        <v>20</v>
      </c>
      <c r="G11" s="6"/>
      <c r="H11" s="7"/>
      <c r="I11" s="8"/>
    </row>
    <row r="12" spans="1:9" x14ac:dyDescent="0.3">
      <c r="G12" s="6"/>
      <c r="H12" s="7"/>
      <c r="I12" s="8"/>
    </row>
    <row r="13" spans="1:9" x14ac:dyDescent="0.3">
      <c r="A13" t="s">
        <v>237</v>
      </c>
      <c r="G13" s="6"/>
      <c r="H13" s="7"/>
      <c r="I13" s="8"/>
    </row>
    <row r="14" spans="1:9" x14ac:dyDescent="0.3">
      <c r="A14" s="2">
        <v>10</v>
      </c>
      <c r="G14" s="6"/>
      <c r="H14" s="7"/>
      <c r="I14" s="8"/>
    </row>
    <row r="15" spans="1:9" x14ac:dyDescent="0.3">
      <c r="G15" s="6"/>
      <c r="H15" s="7"/>
      <c r="I15" s="8"/>
    </row>
    <row r="16" spans="1:9" x14ac:dyDescent="0.3">
      <c r="A16" t="s">
        <v>263</v>
      </c>
      <c r="G16" s="6"/>
      <c r="H16" s="7"/>
      <c r="I16" s="8"/>
    </row>
    <row r="17" spans="1:9" x14ac:dyDescent="0.3">
      <c r="A17" s="2">
        <v>132100</v>
      </c>
      <c r="G17" s="6"/>
      <c r="H17" s="7"/>
      <c r="I17" s="8"/>
    </row>
    <row r="18" spans="1:9" x14ac:dyDescent="0.3">
      <c r="D18" s="12" t="s">
        <v>266</v>
      </c>
      <c r="E18" t="s">
        <v>269</v>
      </c>
      <c r="G18" s="6"/>
      <c r="H18" s="7"/>
      <c r="I18" s="8"/>
    </row>
    <row r="19" spans="1:9" x14ac:dyDescent="0.3">
      <c r="A19" s="3"/>
      <c r="B19" s="4"/>
      <c r="C19" s="5"/>
      <c r="D19" s="13" t="s">
        <v>33</v>
      </c>
      <c r="E19" s="2">
        <v>2</v>
      </c>
      <c r="G19" s="6"/>
      <c r="H19" s="7"/>
      <c r="I19" s="8"/>
    </row>
    <row r="20" spans="1:9" x14ac:dyDescent="0.3">
      <c r="A20" s="6"/>
      <c r="B20" s="7"/>
      <c r="C20" s="8"/>
      <c r="D20" s="13" t="s">
        <v>31</v>
      </c>
      <c r="E20" s="2">
        <v>18</v>
      </c>
      <c r="G20" s="6"/>
      <c r="H20" s="7"/>
      <c r="I20" s="8"/>
    </row>
    <row r="21" spans="1:9" x14ac:dyDescent="0.3">
      <c r="A21" s="6"/>
      <c r="B21" s="7"/>
      <c r="C21" s="8"/>
      <c r="D21" s="13" t="s">
        <v>267</v>
      </c>
      <c r="E21" s="2">
        <v>20</v>
      </c>
      <c r="G21" s="6"/>
      <c r="H21" s="7"/>
      <c r="I21" s="8"/>
    </row>
    <row r="22" spans="1:9" x14ac:dyDescent="0.3">
      <c r="A22" s="6"/>
      <c r="B22" s="7"/>
      <c r="C22" s="8"/>
      <c r="G22" s="6"/>
      <c r="H22" s="7"/>
      <c r="I22" s="8"/>
    </row>
    <row r="23" spans="1:9" x14ac:dyDescent="0.3">
      <c r="A23" s="6"/>
      <c r="B23" s="7"/>
      <c r="C23" s="8"/>
      <c r="G23" s="6"/>
      <c r="H23" s="7"/>
      <c r="I23" s="8"/>
    </row>
    <row r="24" spans="1:9" x14ac:dyDescent="0.3">
      <c r="A24" s="6"/>
      <c r="B24" s="7"/>
      <c r="C24" s="8"/>
      <c r="G24" s="6"/>
      <c r="H24" s="7"/>
      <c r="I24" s="8"/>
    </row>
    <row r="25" spans="1:9" x14ac:dyDescent="0.3">
      <c r="A25" s="6"/>
      <c r="B25" s="7"/>
      <c r="C25" s="8"/>
      <c r="G25" s="9"/>
      <c r="H25" s="10"/>
      <c r="I25" s="11"/>
    </row>
    <row r="26" spans="1:9" x14ac:dyDescent="0.3">
      <c r="A26" s="6"/>
      <c r="B26" s="7"/>
      <c r="C26" s="8"/>
    </row>
    <row r="27" spans="1:9" x14ac:dyDescent="0.3">
      <c r="A27" s="6"/>
      <c r="B27" s="7"/>
      <c r="C27" s="8"/>
    </row>
    <row r="28" spans="1:9" x14ac:dyDescent="0.3">
      <c r="A28" s="6"/>
      <c r="B28" s="7"/>
      <c r="C28" s="8"/>
    </row>
    <row r="29" spans="1:9" x14ac:dyDescent="0.3">
      <c r="A29" s="6"/>
      <c r="B29" s="7"/>
      <c r="C29" s="8"/>
    </row>
    <row r="30" spans="1:9" x14ac:dyDescent="0.3">
      <c r="A30" s="6"/>
      <c r="B30" s="7"/>
      <c r="C30" s="8"/>
    </row>
    <row r="31" spans="1:9" x14ac:dyDescent="0.3">
      <c r="A31" s="6"/>
      <c r="B31" s="7"/>
      <c r="C31" s="8"/>
    </row>
    <row r="32" spans="1:9" x14ac:dyDescent="0.3">
      <c r="A32" s="6"/>
      <c r="B32" s="7"/>
      <c r="C32" s="8"/>
    </row>
    <row r="33" spans="1:3" x14ac:dyDescent="0.3">
      <c r="A33" s="6"/>
      <c r="B33" s="7"/>
      <c r="C33" s="8"/>
    </row>
    <row r="34" spans="1:3" x14ac:dyDescent="0.3">
      <c r="A34" s="6"/>
      <c r="B34" s="7"/>
      <c r="C34" s="8"/>
    </row>
    <row r="35" spans="1:3" x14ac:dyDescent="0.3">
      <c r="A35" s="6"/>
      <c r="B35" s="7"/>
      <c r="C35" s="8"/>
    </row>
    <row r="36" spans="1:3" x14ac:dyDescent="0.3">
      <c r="A36" s="9"/>
      <c r="B36" s="10"/>
      <c r="C36" s="11"/>
    </row>
  </sheetData>
  <pageMargins left="0.7" right="0.7" top="0.75" bottom="0.75" header="0.3" footer="0.3"/>
  <pageSetup orientation="portrait" horizontalDpi="150" verticalDpi="150" r:id="rId1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BFA44-E516-403D-9B9E-1817C143900D}">
  <dimension ref="A1"/>
  <sheetViews>
    <sheetView showGridLines="0" tabSelected="1" zoomScale="85" zoomScaleNormal="85" workbookViewId="0">
      <selection activeCell="Z20" sqref="Z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475E4F-BBDF-4C71-ACDA-CA4D850CA3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admissions</vt:lpstr>
      <vt:lpstr>appointments</vt:lpstr>
      <vt:lpstr>bills</vt:lpstr>
      <vt:lpstr>departments</vt:lpstr>
      <vt:lpstr>diagnosis</vt:lpstr>
      <vt:lpstr>doctors</vt:lpstr>
      <vt:lpstr>entryexit</vt:lpstr>
      <vt:lpstr>patients</vt:lpstr>
      <vt:lpstr>payments</vt:lpstr>
      <vt:lpstr>staff</vt:lpstr>
      <vt:lpstr>treatments</vt:lpstr>
      <vt:lpstr>insurance</vt:lpstr>
      <vt:lpstr>Sheet4</vt:lpstr>
      <vt:lpstr>Sheet8</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2026-09-17T06:06:22Z</dcterms:created>
  <dcterms:modified xsi:type="dcterms:W3CDTF">2026-09-22T06:24:03Z</dcterms:modified>
</cp:coreProperties>
</file>